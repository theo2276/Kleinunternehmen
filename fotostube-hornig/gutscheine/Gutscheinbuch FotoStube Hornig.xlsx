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tscheine" sheetId="1" state="visible" r:id="rId1"/>
    <sheet name="So geht’s" sheetId="2" state="visible" r:id="rId2"/>
  </sheets>
  <definedNames>
    <definedName name="_xlnm._FilterDatabase" localSheetId="0" hidden="1">'Gutscheine'!$A$4:$Q$1004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DD.MM.YYYY"/>
  </numFmts>
  <fonts count="11">
    <font>
      <name val="Calibri"/>
      <family val="2"/>
      <color theme="1"/>
      <sz val="11"/>
      <scheme val="minor"/>
    </font>
    <font>
      <name val="Familjen Grotesk"/>
      <b val="1"/>
      <color rgb="000E0D0C"/>
      <sz val="20"/>
    </font>
    <font>
      <name val="Familjen Grotesk"/>
      <color rgb="006B655E"/>
      <sz val="10"/>
    </font>
    <font>
      <name val="Familjen Grotesk"/>
      <b val="1"/>
      <sz val="11"/>
    </font>
    <font>
      <name val="Familjen Grotesk"/>
      <b val="1"/>
      <sz val="14"/>
    </font>
    <font>
      <name val="Familjen Grotesk"/>
      <b val="1"/>
      <color rgb="00F6F1E9"/>
      <sz val="10"/>
    </font>
    <font>
      <name val="Familjen Grotesk"/>
      <b val="1"/>
      <sz val="10"/>
    </font>
    <font>
      <name val="Familjen Grotesk"/>
      <sz val="10"/>
    </font>
    <font>
      <name val="Familjen Grotesk"/>
      <b val="1"/>
      <sz val="18"/>
    </font>
    <font>
      <name val="Familjen Grotesk"/>
      <b val="1"/>
      <color rgb="00C41E42"/>
      <sz val="13"/>
    </font>
    <font>
      <name val="Familjen Grotesk"/>
      <sz val="11"/>
    </font>
  </fonts>
  <fills count="4">
    <fill>
      <patternFill/>
    </fill>
    <fill>
      <patternFill patternType="gray125"/>
    </fill>
    <fill>
      <patternFill patternType="solid">
        <fgColor rgb="000E0D0C"/>
      </patternFill>
    </fill>
    <fill>
      <patternFill patternType="solid">
        <fgColor rgb="00EEE9E1"/>
      </patternFill>
    </fill>
  </fills>
  <borders count="2">
    <border>
      <left/>
      <right/>
      <top/>
      <bottom/>
      <diagonal/>
    </border>
    <border>
      <bottom style="thin">
        <color rgb="00D8D2C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164" fontId="4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0" borderId="1" pivotButton="0" quotePrefix="0" xfId="0"/>
    <xf numFmtId="165" fontId="7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165" fontId="7" fillId="3" borderId="1" pivotButton="0" quotePrefix="0" xfId="0"/>
    <xf numFmtId="164" fontId="7" fillId="3" borderId="1" pivotButton="0" quotePrefix="0" xfId="0"/>
    <xf numFmtId="0" fontId="7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amiljen Grotesk"/>
        <b val="1"/>
        <color rgb="000E0D0C"/>
      </font>
      <fill>
        <patternFill patternType="solid">
          <fgColor rgb="00FBE7A6"/>
        </patternFill>
      </fill>
    </dxf>
    <dxf>
      <font>
        <name val="Familjen Grotesk"/>
        <b val="1"/>
        <color rgb="000E0D0C"/>
      </font>
      <fill>
        <patternFill patternType="solid">
          <fgColor rgb="00FAD3BF"/>
        </patternFill>
      </fill>
    </dxf>
    <dxf>
      <font>
        <name val="Familjen Grotesk"/>
        <color rgb="006B655E"/>
      </font>
      <fill>
        <patternFill patternType="solid">
          <fgColor rgb="00DCD7CF"/>
        </patternFill>
      </fill>
    </dxf>
    <dxf>
      <font>
        <name val="Familjen Grotesk"/>
        <b val="1"/>
        <color rgb="00C41E42"/>
      </font>
      <fill>
        <patternFill patternType="solid">
          <fgColor rgb="00F2C2CC"/>
        </patternFill>
      </fill>
    </dxf>
    <dxf>
      <font>
        <name val="Familjen Grotesk"/>
        <b val="1"/>
        <color rgb="00FFFFFF"/>
      </font>
      <fill>
        <patternFill patternType="solid">
          <fgColor rgb="00C41E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4"/>
  <sheetViews>
    <sheetView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9" customWidth="1" min="4" max="4"/>
    <col width="20" customWidth="1" min="5" max="5"/>
    <col width="26" customWidth="1" min="6" max="6"/>
    <col width="11" customWidth="1" min="7" max="7"/>
    <col width="22" customWidth="1" min="8" max="8"/>
    <col width="12" customWidth="1" min="9" max="9"/>
    <col width="15" customWidth="1" min="10" max="10"/>
    <col width="11" customWidth="1" min="11" max="11"/>
    <col width="15" customWidth="1" min="12" max="12"/>
    <col width="11" customWidth="1" min="13" max="13"/>
    <col width="15" customWidth="1" min="14" max="14"/>
    <col width="11" customWidth="1" min="15" max="15"/>
    <col width="11" customWidth="1" min="16" max="16"/>
    <col width="13" customWidth="1" min="17" max="17"/>
  </cols>
  <sheetData>
    <row r="1">
      <c r="A1" s="1" t="inlineStr">
        <is>
          <t>Gutscheinbuch · FotoStube Hornig</t>
        </is>
      </c>
      <c r="K1" s="2" t="inlineStr">
        <is>
          <t>Offener Gutscheinwert:</t>
        </is>
      </c>
      <c r="M1" s="3">
        <f>SUMIFS(P5:P1004,Q5:Q1004,"offen")+SUMIFS(P5:P1004,Q5:Q1004,"teilweise")</f>
        <v/>
      </c>
      <c r="O1" s="2" t="inlineStr">
        <is>
          <t>Gutscheine gesamt:</t>
        </is>
      </c>
      <c r="Q1" s="4">
        <f>COUNTA(A5:A1004)</f>
        <v/>
      </c>
    </row>
    <row r="2">
      <c r="A2" s="5" t="inlineStr">
        <is>
          <t>Neue Gutscheine: Zeile aus „Gutschein erstellen“ kopieren und in Spalte A der nächsten freien Zeile einfügen. Grau hinterlegte Spalten rechnet die Tabelle selbst.</t>
        </is>
      </c>
    </row>
    <row r="4" ht="30" customHeight="1">
      <c r="A4" s="6" t="inlineStr">
        <is>
          <t>Nummer</t>
        </is>
      </c>
      <c r="B4" s="6" t="inlineStr">
        <is>
          <t>Verkauft am</t>
        </is>
      </c>
      <c r="C4" s="6" t="inlineStr">
        <is>
          <t>Betrag</t>
        </is>
      </c>
      <c r="D4" s="6" t="inlineStr">
        <is>
          <t>Stufe</t>
        </is>
      </c>
      <c r="E4" s="6" t="inlineStr">
        <is>
          <t>Käufer</t>
        </is>
      </c>
      <c r="F4" s="6" t="inlineStr">
        <is>
          <t>E-Mail</t>
        </is>
      </c>
      <c r="G4" s="6" t="inlineStr">
        <is>
          <t>Verkauft</t>
        </is>
      </c>
      <c r="H4" s="6" t="inlineStr">
        <is>
          <t>Notiz</t>
        </is>
      </c>
      <c r="I4" s="6" t="inlineStr">
        <is>
          <t>Gültig bis</t>
        </is>
      </c>
      <c r="J4" s="6" t="inlineStr">
        <is>
          <t>Eingelöst am (1)</t>
        </is>
      </c>
      <c r="K4" s="6" t="inlineStr">
        <is>
          <t>Betrag (1)</t>
        </is>
      </c>
      <c r="L4" s="6" t="inlineStr">
        <is>
          <t>Eingelöst am (2)</t>
        </is>
      </c>
      <c r="M4" s="6" t="inlineStr">
        <is>
          <t>Betrag (2)</t>
        </is>
      </c>
      <c r="N4" s="6" t="inlineStr">
        <is>
          <t>Eingelöst am (3)</t>
        </is>
      </c>
      <c r="O4" s="6" t="inlineStr">
        <is>
          <t>Betrag (3)</t>
        </is>
      </c>
      <c r="P4" s="6" t="inlineStr">
        <is>
          <t>Restwert</t>
        </is>
      </c>
      <c r="Q4" s="6" t="inlineStr">
        <is>
          <t>Status</t>
        </is>
      </c>
    </row>
    <row r="5">
      <c r="A5" s="7" t="n"/>
      <c r="B5" s="8" t="n"/>
      <c r="C5" s="9" t="n"/>
      <c r="D5" s="10" t="n"/>
      <c r="E5" s="10" t="n"/>
      <c r="F5" s="10" t="n"/>
      <c r="G5" s="10" t="n"/>
      <c r="H5" s="10" t="n"/>
      <c r="I5" s="11">
        <f>IF(B5="","",DATE(YEAR(B5)+3,12,31))</f>
        <v/>
      </c>
      <c r="J5" s="8" t="n"/>
      <c r="K5" s="9" t="n"/>
      <c r="L5" s="8" t="n"/>
      <c r="M5" s="9" t="n"/>
      <c r="N5" s="8" t="n"/>
      <c r="O5" s="9" t="n"/>
      <c r="P5" s="12">
        <f>IF(C5="","",C5-SUM(K5,M5,O5))</f>
        <v/>
      </c>
      <c r="Q5" s="13">
        <f>IF(A5="","",IF(P5&lt;=0,"eingelöst",IF(AND(I5&lt;&gt;"",TODAY()&gt;I5),"abgelaufen",IF(P5&lt;C5,"teilweise","offen"))))</f>
        <v/>
      </c>
    </row>
    <row r="6">
      <c r="A6" s="7" t="n"/>
      <c r="B6" s="8" t="n"/>
      <c r="C6" s="9" t="n"/>
      <c r="D6" s="10" t="n"/>
      <c r="E6" s="10" t="n"/>
      <c r="F6" s="10" t="n"/>
      <c r="G6" s="10" t="n"/>
      <c r="H6" s="10" t="n"/>
      <c r="I6" s="11">
        <f>IF(B6="","",DATE(YEAR(B6)+3,12,31))</f>
        <v/>
      </c>
      <c r="J6" s="8" t="n"/>
      <c r="K6" s="9" t="n"/>
      <c r="L6" s="8" t="n"/>
      <c r="M6" s="9" t="n"/>
      <c r="N6" s="8" t="n"/>
      <c r="O6" s="9" t="n"/>
      <c r="P6" s="12">
        <f>IF(C6="","",C6-SUM(K6,M6,O6))</f>
        <v/>
      </c>
      <c r="Q6" s="13">
        <f>IF(A6="","",IF(P6&lt;=0,"eingelöst",IF(AND(I6&lt;&gt;"",TODAY()&gt;I6),"abgelaufen",IF(P6&lt;C6,"teilweise","offen"))))</f>
        <v/>
      </c>
    </row>
    <row r="7">
      <c r="A7" s="7" t="n"/>
      <c r="B7" s="8" t="n"/>
      <c r="C7" s="9" t="n"/>
      <c r="D7" s="10" t="n"/>
      <c r="E7" s="10" t="n"/>
      <c r="F7" s="10" t="n"/>
      <c r="G7" s="10" t="n"/>
      <c r="H7" s="10" t="n"/>
      <c r="I7" s="11">
        <f>IF(B7="","",DATE(YEAR(B7)+3,12,31))</f>
        <v/>
      </c>
      <c r="J7" s="8" t="n"/>
      <c r="K7" s="9" t="n"/>
      <c r="L7" s="8" t="n"/>
      <c r="M7" s="9" t="n"/>
      <c r="N7" s="8" t="n"/>
      <c r="O7" s="9" t="n"/>
      <c r="P7" s="12">
        <f>IF(C7="","",C7-SUM(K7,M7,O7))</f>
        <v/>
      </c>
      <c r="Q7" s="13">
        <f>IF(A7="","",IF(P7&lt;=0,"eingelöst",IF(AND(I7&lt;&gt;"",TODAY()&gt;I7),"abgelaufen",IF(P7&lt;C7,"teilweise","offen"))))</f>
        <v/>
      </c>
    </row>
    <row r="8">
      <c r="A8" s="7" t="n"/>
      <c r="B8" s="8" t="n"/>
      <c r="C8" s="9" t="n"/>
      <c r="D8" s="10" t="n"/>
      <c r="E8" s="10" t="n"/>
      <c r="F8" s="10" t="n"/>
      <c r="G8" s="10" t="n"/>
      <c r="H8" s="10" t="n"/>
      <c r="I8" s="11">
        <f>IF(B8="","",DATE(YEAR(B8)+3,12,31))</f>
        <v/>
      </c>
      <c r="J8" s="8" t="n"/>
      <c r="K8" s="9" t="n"/>
      <c r="L8" s="8" t="n"/>
      <c r="M8" s="9" t="n"/>
      <c r="N8" s="8" t="n"/>
      <c r="O8" s="9" t="n"/>
      <c r="P8" s="12">
        <f>IF(C8="","",C8-SUM(K8,M8,O8))</f>
        <v/>
      </c>
      <c r="Q8" s="13">
        <f>IF(A8="","",IF(P8&lt;=0,"eingelöst",IF(AND(I8&lt;&gt;"",TODAY()&gt;I8),"abgelaufen",IF(P8&lt;C8,"teilweise","offen"))))</f>
        <v/>
      </c>
    </row>
    <row r="9">
      <c r="A9" s="7" t="n"/>
      <c r="B9" s="8" t="n"/>
      <c r="C9" s="9" t="n"/>
      <c r="D9" s="10" t="n"/>
      <c r="E9" s="10" t="n"/>
      <c r="F9" s="10" t="n"/>
      <c r="G9" s="10" t="n"/>
      <c r="H9" s="10" t="n"/>
      <c r="I9" s="11">
        <f>IF(B9="","",DATE(YEAR(B9)+3,12,31))</f>
        <v/>
      </c>
      <c r="J9" s="8" t="n"/>
      <c r="K9" s="9" t="n"/>
      <c r="L9" s="8" t="n"/>
      <c r="M9" s="9" t="n"/>
      <c r="N9" s="8" t="n"/>
      <c r="O9" s="9" t="n"/>
      <c r="P9" s="12">
        <f>IF(C9="","",C9-SUM(K9,M9,O9))</f>
        <v/>
      </c>
      <c r="Q9" s="13">
        <f>IF(A9="","",IF(P9&lt;=0,"eingelöst",IF(AND(I9&lt;&gt;"",TODAY()&gt;I9),"abgelaufen",IF(P9&lt;C9,"teilweise","offen"))))</f>
        <v/>
      </c>
    </row>
    <row r="10">
      <c r="A10" s="7" t="n"/>
      <c r="B10" s="8" t="n"/>
      <c r="C10" s="9" t="n"/>
      <c r="D10" s="10" t="n"/>
      <c r="E10" s="10" t="n"/>
      <c r="F10" s="10" t="n"/>
      <c r="G10" s="10" t="n"/>
      <c r="H10" s="10" t="n"/>
      <c r="I10" s="11">
        <f>IF(B10="","",DATE(YEAR(B10)+3,12,31))</f>
        <v/>
      </c>
      <c r="J10" s="8" t="n"/>
      <c r="K10" s="9" t="n"/>
      <c r="L10" s="8" t="n"/>
      <c r="M10" s="9" t="n"/>
      <c r="N10" s="8" t="n"/>
      <c r="O10" s="9" t="n"/>
      <c r="P10" s="12">
        <f>IF(C10="","",C10-SUM(K10,M10,O10))</f>
        <v/>
      </c>
      <c r="Q10" s="13">
        <f>IF(A10="","",IF(P10&lt;=0,"eingelöst",IF(AND(I10&lt;&gt;"",TODAY()&gt;I10),"abgelaufen",IF(P10&lt;C10,"teilweise","offen"))))</f>
        <v/>
      </c>
    </row>
    <row r="11">
      <c r="A11" s="7" t="n"/>
      <c r="B11" s="8" t="n"/>
      <c r="C11" s="9" t="n"/>
      <c r="D11" s="10" t="n"/>
      <c r="E11" s="10" t="n"/>
      <c r="F11" s="10" t="n"/>
      <c r="G11" s="10" t="n"/>
      <c r="H11" s="10" t="n"/>
      <c r="I11" s="11">
        <f>IF(B11="","",DATE(YEAR(B11)+3,12,31))</f>
        <v/>
      </c>
      <c r="J11" s="8" t="n"/>
      <c r="K11" s="9" t="n"/>
      <c r="L11" s="8" t="n"/>
      <c r="M11" s="9" t="n"/>
      <c r="N11" s="8" t="n"/>
      <c r="O11" s="9" t="n"/>
      <c r="P11" s="12">
        <f>IF(C11="","",C11-SUM(K11,M11,O11))</f>
        <v/>
      </c>
      <c r="Q11" s="13">
        <f>IF(A11="","",IF(P11&lt;=0,"eingelöst",IF(AND(I11&lt;&gt;"",TODAY()&gt;I11),"abgelaufen",IF(P11&lt;C11,"teilweise","offen"))))</f>
        <v/>
      </c>
    </row>
    <row r="12">
      <c r="A12" s="7" t="n"/>
      <c r="B12" s="8" t="n"/>
      <c r="C12" s="9" t="n"/>
      <c r="D12" s="10" t="n"/>
      <c r="E12" s="10" t="n"/>
      <c r="F12" s="10" t="n"/>
      <c r="G12" s="10" t="n"/>
      <c r="H12" s="10" t="n"/>
      <c r="I12" s="11">
        <f>IF(B12="","",DATE(YEAR(B12)+3,12,31))</f>
        <v/>
      </c>
      <c r="J12" s="8" t="n"/>
      <c r="K12" s="9" t="n"/>
      <c r="L12" s="8" t="n"/>
      <c r="M12" s="9" t="n"/>
      <c r="N12" s="8" t="n"/>
      <c r="O12" s="9" t="n"/>
      <c r="P12" s="12">
        <f>IF(C12="","",C12-SUM(K12,M12,O12))</f>
        <v/>
      </c>
      <c r="Q12" s="13">
        <f>IF(A12="","",IF(P12&lt;=0,"eingelöst",IF(AND(I12&lt;&gt;"",TODAY()&gt;I12),"abgelaufen",IF(P12&lt;C12,"teilweise","offen"))))</f>
        <v/>
      </c>
    </row>
    <row r="13">
      <c r="A13" s="7" t="n"/>
      <c r="B13" s="8" t="n"/>
      <c r="C13" s="9" t="n"/>
      <c r="D13" s="10" t="n"/>
      <c r="E13" s="10" t="n"/>
      <c r="F13" s="10" t="n"/>
      <c r="G13" s="10" t="n"/>
      <c r="H13" s="10" t="n"/>
      <c r="I13" s="11">
        <f>IF(B13="","",DATE(YEAR(B13)+3,12,31))</f>
        <v/>
      </c>
      <c r="J13" s="8" t="n"/>
      <c r="K13" s="9" t="n"/>
      <c r="L13" s="8" t="n"/>
      <c r="M13" s="9" t="n"/>
      <c r="N13" s="8" t="n"/>
      <c r="O13" s="9" t="n"/>
      <c r="P13" s="12">
        <f>IF(C13="","",C13-SUM(K13,M13,O13))</f>
        <v/>
      </c>
      <c r="Q13" s="13">
        <f>IF(A13="","",IF(P13&lt;=0,"eingelöst",IF(AND(I13&lt;&gt;"",TODAY()&gt;I13),"abgelaufen",IF(P13&lt;C13,"teilweise","offen"))))</f>
        <v/>
      </c>
    </row>
    <row r="14">
      <c r="A14" s="7" t="n"/>
      <c r="B14" s="8" t="n"/>
      <c r="C14" s="9" t="n"/>
      <c r="D14" s="10" t="n"/>
      <c r="E14" s="10" t="n"/>
      <c r="F14" s="10" t="n"/>
      <c r="G14" s="10" t="n"/>
      <c r="H14" s="10" t="n"/>
      <c r="I14" s="11">
        <f>IF(B14="","",DATE(YEAR(B14)+3,12,31))</f>
        <v/>
      </c>
      <c r="J14" s="8" t="n"/>
      <c r="K14" s="9" t="n"/>
      <c r="L14" s="8" t="n"/>
      <c r="M14" s="9" t="n"/>
      <c r="N14" s="8" t="n"/>
      <c r="O14" s="9" t="n"/>
      <c r="P14" s="12">
        <f>IF(C14="","",C14-SUM(K14,M14,O14))</f>
        <v/>
      </c>
      <c r="Q14" s="13">
        <f>IF(A14="","",IF(P14&lt;=0,"eingelöst",IF(AND(I14&lt;&gt;"",TODAY()&gt;I14),"abgelaufen",IF(P14&lt;C14,"teilweise","offen"))))</f>
        <v/>
      </c>
    </row>
    <row r="15">
      <c r="A15" s="7" t="n"/>
      <c r="B15" s="8" t="n"/>
      <c r="C15" s="9" t="n"/>
      <c r="D15" s="10" t="n"/>
      <c r="E15" s="10" t="n"/>
      <c r="F15" s="10" t="n"/>
      <c r="G15" s="10" t="n"/>
      <c r="H15" s="10" t="n"/>
      <c r="I15" s="11">
        <f>IF(B15="","",DATE(YEAR(B15)+3,12,31))</f>
        <v/>
      </c>
      <c r="J15" s="8" t="n"/>
      <c r="K15" s="9" t="n"/>
      <c r="L15" s="8" t="n"/>
      <c r="M15" s="9" t="n"/>
      <c r="N15" s="8" t="n"/>
      <c r="O15" s="9" t="n"/>
      <c r="P15" s="12">
        <f>IF(C15="","",C15-SUM(K15,M15,O15))</f>
        <v/>
      </c>
      <c r="Q15" s="13">
        <f>IF(A15="","",IF(P15&lt;=0,"eingelöst",IF(AND(I15&lt;&gt;"",TODAY()&gt;I15),"abgelaufen",IF(P15&lt;C15,"teilweise","offen"))))</f>
        <v/>
      </c>
    </row>
    <row r="16">
      <c r="A16" s="7" t="n"/>
      <c r="B16" s="8" t="n"/>
      <c r="C16" s="9" t="n"/>
      <c r="D16" s="10" t="n"/>
      <c r="E16" s="10" t="n"/>
      <c r="F16" s="10" t="n"/>
      <c r="G16" s="10" t="n"/>
      <c r="H16" s="10" t="n"/>
      <c r="I16" s="11">
        <f>IF(B16="","",DATE(YEAR(B16)+3,12,31))</f>
        <v/>
      </c>
      <c r="J16" s="8" t="n"/>
      <c r="K16" s="9" t="n"/>
      <c r="L16" s="8" t="n"/>
      <c r="M16" s="9" t="n"/>
      <c r="N16" s="8" t="n"/>
      <c r="O16" s="9" t="n"/>
      <c r="P16" s="12">
        <f>IF(C16="","",C16-SUM(K16,M16,O16))</f>
        <v/>
      </c>
      <c r="Q16" s="13">
        <f>IF(A16="","",IF(P16&lt;=0,"eingelöst",IF(AND(I16&lt;&gt;"",TODAY()&gt;I16),"abgelaufen",IF(P16&lt;C16,"teilweise","offen"))))</f>
        <v/>
      </c>
    </row>
    <row r="17">
      <c r="A17" s="7" t="n"/>
      <c r="B17" s="8" t="n"/>
      <c r="C17" s="9" t="n"/>
      <c r="D17" s="10" t="n"/>
      <c r="E17" s="10" t="n"/>
      <c r="F17" s="10" t="n"/>
      <c r="G17" s="10" t="n"/>
      <c r="H17" s="10" t="n"/>
      <c r="I17" s="11">
        <f>IF(B17="","",DATE(YEAR(B17)+3,12,31))</f>
        <v/>
      </c>
      <c r="J17" s="8" t="n"/>
      <c r="K17" s="9" t="n"/>
      <c r="L17" s="8" t="n"/>
      <c r="M17" s="9" t="n"/>
      <c r="N17" s="8" t="n"/>
      <c r="O17" s="9" t="n"/>
      <c r="P17" s="12">
        <f>IF(C17="","",C17-SUM(K17,M17,O17))</f>
        <v/>
      </c>
      <c r="Q17" s="13">
        <f>IF(A17="","",IF(P17&lt;=0,"eingelöst",IF(AND(I17&lt;&gt;"",TODAY()&gt;I17),"abgelaufen",IF(P17&lt;C17,"teilweise","offen"))))</f>
        <v/>
      </c>
    </row>
    <row r="18">
      <c r="A18" s="7" t="n"/>
      <c r="B18" s="8" t="n"/>
      <c r="C18" s="9" t="n"/>
      <c r="D18" s="10" t="n"/>
      <c r="E18" s="10" t="n"/>
      <c r="F18" s="10" t="n"/>
      <c r="G18" s="10" t="n"/>
      <c r="H18" s="10" t="n"/>
      <c r="I18" s="11">
        <f>IF(B18="","",DATE(YEAR(B18)+3,12,31))</f>
        <v/>
      </c>
      <c r="J18" s="8" t="n"/>
      <c r="K18" s="9" t="n"/>
      <c r="L18" s="8" t="n"/>
      <c r="M18" s="9" t="n"/>
      <c r="N18" s="8" t="n"/>
      <c r="O18" s="9" t="n"/>
      <c r="P18" s="12">
        <f>IF(C18="","",C18-SUM(K18,M18,O18))</f>
        <v/>
      </c>
      <c r="Q18" s="13">
        <f>IF(A18="","",IF(P18&lt;=0,"eingelöst",IF(AND(I18&lt;&gt;"",TODAY()&gt;I18),"abgelaufen",IF(P18&lt;C18,"teilweise","offen"))))</f>
        <v/>
      </c>
    </row>
    <row r="19">
      <c r="A19" s="7" t="n"/>
      <c r="B19" s="8" t="n"/>
      <c r="C19" s="9" t="n"/>
      <c r="D19" s="10" t="n"/>
      <c r="E19" s="10" t="n"/>
      <c r="F19" s="10" t="n"/>
      <c r="G19" s="10" t="n"/>
      <c r="H19" s="10" t="n"/>
      <c r="I19" s="11">
        <f>IF(B19="","",DATE(YEAR(B19)+3,12,31))</f>
        <v/>
      </c>
      <c r="J19" s="8" t="n"/>
      <c r="K19" s="9" t="n"/>
      <c r="L19" s="8" t="n"/>
      <c r="M19" s="9" t="n"/>
      <c r="N19" s="8" t="n"/>
      <c r="O19" s="9" t="n"/>
      <c r="P19" s="12">
        <f>IF(C19="","",C19-SUM(K19,M19,O19))</f>
        <v/>
      </c>
      <c r="Q19" s="13">
        <f>IF(A19="","",IF(P19&lt;=0,"eingelöst",IF(AND(I19&lt;&gt;"",TODAY()&gt;I19),"abgelaufen",IF(P19&lt;C19,"teilweise","offen"))))</f>
        <v/>
      </c>
    </row>
    <row r="20">
      <c r="A20" s="7" t="n"/>
      <c r="B20" s="8" t="n"/>
      <c r="C20" s="9" t="n"/>
      <c r="D20" s="10" t="n"/>
      <c r="E20" s="10" t="n"/>
      <c r="F20" s="10" t="n"/>
      <c r="G20" s="10" t="n"/>
      <c r="H20" s="10" t="n"/>
      <c r="I20" s="11">
        <f>IF(B20="","",DATE(YEAR(B20)+3,12,31))</f>
        <v/>
      </c>
      <c r="J20" s="8" t="n"/>
      <c r="K20" s="9" t="n"/>
      <c r="L20" s="8" t="n"/>
      <c r="M20" s="9" t="n"/>
      <c r="N20" s="8" t="n"/>
      <c r="O20" s="9" t="n"/>
      <c r="P20" s="12">
        <f>IF(C20="","",C20-SUM(K20,M20,O20))</f>
        <v/>
      </c>
      <c r="Q20" s="13">
        <f>IF(A20="","",IF(P20&lt;=0,"eingelöst",IF(AND(I20&lt;&gt;"",TODAY()&gt;I20),"abgelaufen",IF(P20&lt;C20,"teilweise","offen"))))</f>
        <v/>
      </c>
    </row>
    <row r="21">
      <c r="A21" s="7" t="n"/>
      <c r="B21" s="8" t="n"/>
      <c r="C21" s="9" t="n"/>
      <c r="D21" s="10" t="n"/>
      <c r="E21" s="10" t="n"/>
      <c r="F21" s="10" t="n"/>
      <c r="G21" s="10" t="n"/>
      <c r="H21" s="10" t="n"/>
      <c r="I21" s="11">
        <f>IF(B21="","",DATE(YEAR(B21)+3,12,31))</f>
        <v/>
      </c>
      <c r="J21" s="8" t="n"/>
      <c r="K21" s="9" t="n"/>
      <c r="L21" s="8" t="n"/>
      <c r="M21" s="9" t="n"/>
      <c r="N21" s="8" t="n"/>
      <c r="O21" s="9" t="n"/>
      <c r="P21" s="12">
        <f>IF(C21="","",C21-SUM(K21,M21,O21))</f>
        <v/>
      </c>
      <c r="Q21" s="13">
        <f>IF(A21="","",IF(P21&lt;=0,"eingelöst",IF(AND(I21&lt;&gt;"",TODAY()&gt;I21),"abgelaufen",IF(P21&lt;C21,"teilweise","offen"))))</f>
        <v/>
      </c>
    </row>
    <row r="22">
      <c r="A22" s="7" t="n"/>
      <c r="B22" s="8" t="n"/>
      <c r="C22" s="9" t="n"/>
      <c r="D22" s="10" t="n"/>
      <c r="E22" s="10" t="n"/>
      <c r="F22" s="10" t="n"/>
      <c r="G22" s="10" t="n"/>
      <c r="H22" s="10" t="n"/>
      <c r="I22" s="11">
        <f>IF(B22="","",DATE(YEAR(B22)+3,12,31))</f>
        <v/>
      </c>
      <c r="J22" s="8" t="n"/>
      <c r="K22" s="9" t="n"/>
      <c r="L22" s="8" t="n"/>
      <c r="M22" s="9" t="n"/>
      <c r="N22" s="8" t="n"/>
      <c r="O22" s="9" t="n"/>
      <c r="P22" s="12">
        <f>IF(C22="","",C22-SUM(K22,M22,O22))</f>
        <v/>
      </c>
      <c r="Q22" s="13">
        <f>IF(A22="","",IF(P22&lt;=0,"eingelöst",IF(AND(I22&lt;&gt;"",TODAY()&gt;I22),"abgelaufen",IF(P22&lt;C22,"teilweise","offen"))))</f>
        <v/>
      </c>
    </row>
    <row r="23">
      <c r="A23" s="7" t="n"/>
      <c r="B23" s="8" t="n"/>
      <c r="C23" s="9" t="n"/>
      <c r="D23" s="10" t="n"/>
      <c r="E23" s="10" t="n"/>
      <c r="F23" s="10" t="n"/>
      <c r="G23" s="10" t="n"/>
      <c r="H23" s="10" t="n"/>
      <c r="I23" s="11">
        <f>IF(B23="","",DATE(YEAR(B23)+3,12,31))</f>
        <v/>
      </c>
      <c r="J23" s="8" t="n"/>
      <c r="K23" s="9" t="n"/>
      <c r="L23" s="8" t="n"/>
      <c r="M23" s="9" t="n"/>
      <c r="N23" s="8" t="n"/>
      <c r="O23" s="9" t="n"/>
      <c r="P23" s="12">
        <f>IF(C23="","",C23-SUM(K23,M23,O23))</f>
        <v/>
      </c>
      <c r="Q23" s="13">
        <f>IF(A23="","",IF(P23&lt;=0,"eingelöst",IF(AND(I23&lt;&gt;"",TODAY()&gt;I23),"abgelaufen",IF(P23&lt;C23,"teilweise","offen"))))</f>
        <v/>
      </c>
    </row>
    <row r="24">
      <c r="A24" s="7" t="n"/>
      <c r="B24" s="8" t="n"/>
      <c r="C24" s="9" t="n"/>
      <c r="D24" s="10" t="n"/>
      <c r="E24" s="10" t="n"/>
      <c r="F24" s="10" t="n"/>
      <c r="G24" s="10" t="n"/>
      <c r="H24" s="10" t="n"/>
      <c r="I24" s="11">
        <f>IF(B24="","",DATE(YEAR(B24)+3,12,31))</f>
        <v/>
      </c>
      <c r="J24" s="8" t="n"/>
      <c r="K24" s="9" t="n"/>
      <c r="L24" s="8" t="n"/>
      <c r="M24" s="9" t="n"/>
      <c r="N24" s="8" t="n"/>
      <c r="O24" s="9" t="n"/>
      <c r="P24" s="12">
        <f>IF(C24="","",C24-SUM(K24,M24,O24))</f>
        <v/>
      </c>
      <c r="Q24" s="13">
        <f>IF(A24="","",IF(P24&lt;=0,"eingelöst",IF(AND(I24&lt;&gt;"",TODAY()&gt;I24),"abgelaufen",IF(P24&lt;C24,"teilweise","offen"))))</f>
        <v/>
      </c>
    </row>
    <row r="25">
      <c r="A25" s="7" t="n"/>
      <c r="B25" s="8" t="n"/>
      <c r="C25" s="9" t="n"/>
      <c r="D25" s="10" t="n"/>
      <c r="E25" s="10" t="n"/>
      <c r="F25" s="10" t="n"/>
      <c r="G25" s="10" t="n"/>
      <c r="H25" s="10" t="n"/>
      <c r="I25" s="11">
        <f>IF(B25="","",DATE(YEAR(B25)+3,12,31))</f>
        <v/>
      </c>
      <c r="J25" s="8" t="n"/>
      <c r="K25" s="9" t="n"/>
      <c r="L25" s="8" t="n"/>
      <c r="M25" s="9" t="n"/>
      <c r="N25" s="8" t="n"/>
      <c r="O25" s="9" t="n"/>
      <c r="P25" s="12">
        <f>IF(C25="","",C25-SUM(K25,M25,O25))</f>
        <v/>
      </c>
      <c r="Q25" s="13">
        <f>IF(A25="","",IF(P25&lt;=0,"eingelöst",IF(AND(I25&lt;&gt;"",TODAY()&gt;I25),"abgelaufen",IF(P25&lt;C25,"teilweise","offen"))))</f>
        <v/>
      </c>
    </row>
    <row r="26">
      <c r="A26" s="7" t="n"/>
      <c r="B26" s="8" t="n"/>
      <c r="C26" s="9" t="n"/>
      <c r="D26" s="10" t="n"/>
      <c r="E26" s="10" t="n"/>
      <c r="F26" s="10" t="n"/>
      <c r="G26" s="10" t="n"/>
      <c r="H26" s="10" t="n"/>
      <c r="I26" s="11">
        <f>IF(B26="","",DATE(YEAR(B26)+3,12,31))</f>
        <v/>
      </c>
      <c r="J26" s="8" t="n"/>
      <c r="K26" s="9" t="n"/>
      <c r="L26" s="8" t="n"/>
      <c r="M26" s="9" t="n"/>
      <c r="N26" s="8" t="n"/>
      <c r="O26" s="9" t="n"/>
      <c r="P26" s="12">
        <f>IF(C26="","",C26-SUM(K26,M26,O26))</f>
        <v/>
      </c>
      <c r="Q26" s="13">
        <f>IF(A26="","",IF(P26&lt;=0,"eingelöst",IF(AND(I26&lt;&gt;"",TODAY()&gt;I26),"abgelaufen",IF(P26&lt;C26,"teilweise","offen"))))</f>
        <v/>
      </c>
    </row>
    <row r="27">
      <c r="A27" s="7" t="n"/>
      <c r="B27" s="8" t="n"/>
      <c r="C27" s="9" t="n"/>
      <c r="D27" s="10" t="n"/>
      <c r="E27" s="10" t="n"/>
      <c r="F27" s="10" t="n"/>
      <c r="G27" s="10" t="n"/>
      <c r="H27" s="10" t="n"/>
      <c r="I27" s="11">
        <f>IF(B27="","",DATE(YEAR(B27)+3,12,31))</f>
        <v/>
      </c>
      <c r="J27" s="8" t="n"/>
      <c r="K27" s="9" t="n"/>
      <c r="L27" s="8" t="n"/>
      <c r="M27" s="9" t="n"/>
      <c r="N27" s="8" t="n"/>
      <c r="O27" s="9" t="n"/>
      <c r="P27" s="12">
        <f>IF(C27="","",C27-SUM(K27,M27,O27))</f>
        <v/>
      </c>
      <c r="Q27" s="13">
        <f>IF(A27="","",IF(P27&lt;=0,"eingelöst",IF(AND(I27&lt;&gt;"",TODAY()&gt;I27),"abgelaufen",IF(P27&lt;C27,"teilweise","offen"))))</f>
        <v/>
      </c>
    </row>
    <row r="28">
      <c r="A28" s="7" t="n"/>
      <c r="B28" s="8" t="n"/>
      <c r="C28" s="9" t="n"/>
      <c r="D28" s="10" t="n"/>
      <c r="E28" s="10" t="n"/>
      <c r="F28" s="10" t="n"/>
      <c r="G28" s="10" t="n"/>
      <c r="H28" s="10" t="n"/>
      <c r="I28" s="11">
        <f>IF(B28="","",DATE(YEAR(B28)+3,12,31))</f>
        <v/>
      </c>
      <c r="J28" s="8" t="n"/>
      <c r="K28" s="9" t="n"/>
      <c r="L28" s="8" t="n"/>
      <c r="M28" s="9" t="n"/>
      <c r="N28" s="8" t="n"/>
      <c r="O28" s="9" t="n"/>
      <c r="P28" s="12">
        <f>IF(C28="","",C28-SUM(K28,M28,O28))</f>
        <v/>
      </c>
      <c r="Q28" s="13">
        <f>IF(A28="","",IF(P28&lt;=0,"eingelöst",IF(AND(I28&lt;&gt;"",TODAY()&gt;I28),"abgelaufen",IF(P28&lt;C28,"teilweise","offen"))))</f>
        <v/>
      </c>
    </row>
    <row r="29">
      <c r="A29" s="7" t="n"/>
      <c r="B29" s="8" t="n"/>
      <c r="C29" s="9" t="n"/>
      <c r="D29" s="10" t="n"/>
      <c r="E29" s="10" t="n"/>
      <c r="F29" s="10" t="n"/>
      <c r="G29" s="10" t="n"/>
      <c r="H29" s="10" t="n"/>
      <c r="I29" s="11">
        <f>IF(B29="","",DATE(YEAR(B29)+3,12,31))</f>
        <v/>
      </c>
      <c r="J29" s="8" t="n"/>
      <c r="K29" s="9" t="n"/>
      <c r="L29" s="8" t="n"/>
      <c r="M29" s="9" t="n"/>
      <c r="N29" s="8" t="n"/>
      <c r="O29" s="9" t="n"/>
      <c r="P29" s="12">
        <f>IF(C29="","",C29-SUM(K29,M29,O29))</f>
        <v/>
      </c>
      <c r="Q29" s="13">
        <f>IF(A29="","",IF(P29&lt;=0,"eingelöst",IF(AND(I29&lt;&gt;"",TODAY()&gt;I29),"abgelaufen",IF(P29&lt;C29,"teilweise","offen"))))</f>
        <v/>
      </c>
    </row>
    <row r="30">
      <c r="A30" s="7" t="n"/>
      <c r="B30" s="8" t="n"/>
      <c r="C30" s="9" t="n"/>
      <c r="D30" s="10" t="n"/>
      <c r="E30" s="10" t="n"/>
      <c r="F30" s="10" t="n"/>
      <c r="G30" s="10" t="n"/>
      <c r="H30" s="10" t="n"/>
      <c r="I30" s="11">
        <f>IF(B30="","",DATE(YEAR(B30)+3,12,31))</f>
        <v/>
      </c>
      <c r="J30" s="8" t="n"/>
      <c r="K30" s="9" t="n"/>
      <c r="L30" s="8" t="n"/>
      <c r="M30" s="9" t="n"/>
      <c r="N30" s="8" t="n"/>
      <c r="O30" s="9" t="n"/>
      <c r="P30" s="12">
        <f>IF(C30="","",C30-SUM(K30,M30,O30))</f>
        <v/>
      </c>
      <c r="Q30" s="13">
        <f>IF(A30="","",IF(P30&lt;=0,"eingelöst",IF(AND(I30&lt;&gt;"",TODAY()&gt;I30),"abgelaufen",IF(P30&lt;C30,"teilweise","offen"))))</f>
        <v/>
      </c>
    </row>
    <row r="31">
      <c r="A31" s="7" t="n"/>
      <c r="B31" s="8" t="n"/>
      <c r="C31" s="9" t="n"/>
      <c r="D31" s="10" t="n"/>
      <c r="E31" s="10" t="n"/>
      <c r="F31" s="10" t="n"/>
      <c r="G31" s="10" t="n"/>
      <c r="H31" s="10" t="n"/>
      <c r="I31" s="11">
        <f>IF(B31="","",DATE(YEAR(B31)+3,12,31))</f>
        <v/>
      </c>
      <c r="J31" s="8" t="n"/>
      <c r="K31" s="9" t="n"/>
      <c r="L31" s="8" t="n"/>
      <c r="M31" s="9" t="n"/>
      <c r="N31" s="8" t="n"/>
      <c r="O31" s="9" t="n"/>
      <c r="P31" s="12">
        <f>IF(C31="","",C31-SUM(K31,M31,O31))</f>
        <v/>
      </c>
      <c r="Q31" s="13">
        <f>IF(A31="","",IF(P31&lt;=0,"eingelöst",IF(AND(I31&lt;&gt;"",TODAY()&gt;I31),"abgelaufen",IF(P31&lt;C31,"teilweise","offen"))))</f>
        <v/>
      </c>
    </row>
    <row r="32">
      <c r="A32" s="7" t="n"/>
      <c r="B32" s="8" t="n"/>
      <c r="C32" s="9" t="n"/>
      <c r="D32" s="10" t="n"/>
      <c r="E32" s="10" t="n"/>
      <c r="F32" s="10" t="n"/>
      <c r="G32" s="10" t="n"/>
      <c r="H32" s="10" t="n"/>
      <c r="I32" s="11">
        <f>IF(B32="","",DATE(YEAR(B32)+3,12,31))</f>
        <v/>
      </c>
      <c r="J32" s="8" t="n"/>
      <c r="K32" s="9" t="n"/>
      <c r="L32" s="8" t="n"/>
      <c r="M32" s="9" t="n"/>
      <c r="N32" s="8" t="n"/>
      <c r="O32" s="9" t="n"/>
      <c r="P32" s="12">
        <f>IF(C32="","",C32-SUM(K32,M32,O32))</f>
        <v/>
      </c>
      <c r="Q32" s="13">
        <f>IF(A32="","",IF(P32&lt;=0,"eingelöst",IF(AND(I32&lt;&gt;"",TODAY()&gt;I32),"abgelaufen",IF(P32&lt;C32,"teilweise","offen"))))</f>
        <v/>
      </c>
    </row>
    <row r="33">
      <c r="A33" s="7" t="n"/>
      <c r="B33" s="8" t="n"/>
      <c r="C33" s="9" t="n"/>
      <c r="D33" s="10" t="n"/>
      <c r="E33" s="10" t="n"/>
      <c r="F33" s="10" t="n"/>
      <c r="G33" s="10" t="n"/>
      <c r="H33" s="10" t="n"/>
      <c r="I33" s="11">
        <f>IF(B33="","",DATE(YEAR(B33)+3,12,31))</f>
        <v/>
      </c>
      <c r="J33" s="8" t="n"/>
      <c r="K33" s="9" t="n"/>
      <c r="L33" s="8" t="n"/>
      <c r="M33" s="9" t="n"/>
      <c r="N33" s="8" t="n"/>
      <c r="O33" s="9" t="n"/>
      <c r="P33" s="12">
        <f>IF(C33="","",C33-SUM(K33,M33,O33))</f>
        <v/>
      </c>
      <c r="Q33" s="13">
        <f>IF(A33="","",IF(P33&lt;=0,"eingelöst",IF(AND(I33&lt;&gt;"",TODAY()&gt;I33),"abgelaufen",IF(P33&lt;C33,"teilweise","offen"))))</f>
        <v/>
      </c>
    </row>
    <row r="34">
      <c r="A34" s="7" t="n"/>
      <c r="B34" s="8" t="n"/>
      <c r="C34" s="9" t="n"/>
      <c r="D34" s="10" t="n"/>
      <c r="E34" s="10" t="n"/>
      <c r="F34" s="10" t="n"/>
      <c r="G34" s="10" t="n"/>
      <c r="H34" s="10" t="n"/>
      <c r="I34" s="11">
        <f>IF(B34="","",DATE(YEAR(B34)+3,12,31))</f>
        <v/>
      </c>
      <c r="J34" s="8" t="n"/>
      <c r="K34" s="9" t="n"/>
      <c r="L34" s="8" t="n"/>
      <c r="M34" s="9" t="n"/>
      <c r="N34" s="8" t="n"/>
      <c r="O34" s="9" t="n"/>
      <c r="P34" s="12">
        <f>IF(C34="","",C34-SUM(K34,M34,O34))</f>
        <v/>
      </c>
      <c r="Q34" s="13">
        <f>IF(A34="","",IF(P34&lt;=0,"eingelöst",IF(AND(I34&lt;&gt;"",TODAY()&gt;I34),"abgelaufen",IF(P34&lt;C34,"teilweise","offen"))))</f>
        <v/>
      </c>
    </row>
    <row r="35">
      <c r="A35" s="7" t="n"/>
      <c r="B35" s="8" t="n"/>
      <c r="C35" s="9" t="n"/>
      <c r="D35" s="10" t="n"/>
      <c r="E35" s="10" t="n"/>
      <c r="F35" s="10" t="n"/>
      <c r="G35" s="10" t="n"/>
      <c r="H35" s="10" t="n"/>
      <c r="I35" s="11">
        <f>IF(B35="","",DATE(YEAR(B35)+3,12,31))</f>
        <v/>
      </c>
      <c r="J35" s="8" t="n"/>
      <c r="K35" s="9" t="n"/>
      <c r="L35" s="8" t="n"/>
      <c r="M35" s="9" t="n"/>
      <c r="N35" s="8" t="n"/>
      <c r="O35" s="9" t="n"/>
      <c r="P35" s="12">
        <f>IF(C35="","",C35-SUM(K35,M35,O35))</f>
        <v/>
      </c>
      <c r="Q35" s="13">
        <f>IF(A35="","",IF(P35&lt;=0,"eingelöst",IF(AND(I35&lt;&gt;"",TODAY()&gt;I35),"abgelaufen",IF(P35&lt;C35,"teilweise","offen"))))</f>
        <v/>
      </c>
    </row>
    <row r="36">
      <c r="A36" s="7" t="n"/>
      <c r="B36" s="8" t="n"/>
      <c r="C36" s="9" t="n"/>
      <c r="D36" s="10" t="n"/>
      <c r="E36" s="10" t="n"/>
      <c r="F36" s="10" t="n"/>
      <c r="G36" s="10" t="n"/>
      <c r="H36" s="10" t="n"/>
      <c r="I36" s="11">
        <f>IF(B36="","",DATE(YEAR(B36)+3,12,31))</f>
        <v/>
      </c>
      <c r="J36" s="8" t="n"/>
      <c r="K36" s="9" t="n"/>
      <c r="L36" s="8" t="n"/>
      <c r="M36" s="9" t="n"/>
      <c r="N36" s="8" t="n"/>
      <c r="O36" s="9" t="n"/>
      <c r="P36" s="12">
        <f>IF(C36="","",C36-SUM(K36,M36,O36))</f>
        <v/>
      </c>
      <c r="Q36" s="13">
        <f>IF(A36="","",IF(P36&lt;=0,"eingelöst",IF(AND(I36&lt;&gt;"",TODAY()&gt;I36),"abgelaufen",IF(P36&lt;C36,"teilweise","offen"))))</f>
        <v/>
      </c>
    </row>
    <row r="37">
      <c r="A37" s="7" t="n"/>
      <c r="B37" s="8" t="n"/>
      <c r="C37" s="9" t="n"/>
      <c r="D37" s="10" t="n"/>
      <c r="E37" s="10" t="n"/>
      <c r="F37" s="10" t="n"/>
      <c r="G37" s="10" t="n"/>
      <c r="H37" s="10" t="n"/>
      <c r="I37" s="11">
        <f>IF(B37="","",DATE(YEAR(B37)+3,12,31))</f>
        <v/>
      </c>
      <c r="J37" s="8" t="n"/>
      <c r="K37" s="9" t="n"/>
      <c r="L37" s="8" t="n"/>
      <c r="M37" s="9" t="n"/>
      <c r="N37" s="8" t="n"/>
      <c r="O37" s="9" t="n"/>
      <c r="P37" s="12">
        <f>IF(C37="","",C37-SUM(K37,M37,O37))</f>
        <v/>
      </c>
      <c r="Q37" s="13">
        <f>IF(A37="","",IF(P37&lt;=0,"eingelöst",IF(AND(I37&lt;&gt;"",TODAY()&gt;I37),"abgelaufen",IF(P37&lt;C37,"teilweise","offen"))))</f>
        <v/>
      </c>
    </row>
    <row r="38">
      <c r="A38" s="7" t="n"/>
      <c r="B38" s="8" t="n"/>
      <c r="C38" s="9" t="n"/>
      <c r="D38" s="10" t="n"/>
      <c r="E38" s="10" t="n"/>
      <c r="F38" s="10" t="n"/>
      <c r="G38" s="10" t="n"/>
      <c r="H38" s="10" t="n"/>
      <c r="I38" s="11">
        <f>IF(B38="","",DATE(YEAR(B38)+3,12,31))</f>
        <v/>
      </c>
      <c r="J38" s="8" t="n"/>
      <c r="K38" s="9" t="n"/>
      <c r="L38" s="8" t="n"/>
      <c r="M38" s="9" t="n"/>
      <c r="N38" s="8" t="n"/>
      <c r="O38" s="9" t="n"/>
      <c r="P38" s="12">
        <f>IF(C38="","",C38-SUM(K38,M38,O38))</f>
        <v/>
      </c>
      <c r="Q38" s="13">
        <f>IF(A38="","",IF(P38&lt;=0,"eingelöst",IF(AND(I38&lt;&gt;"",TODAY()&gt;I38),"abgelaufen",IF(P38&lt;C38,"teilweise","offen"))))</f>
        <v/>
      </c>
    </row>
    <row r="39">
      <c r="A39" s="7" t="n"/>
      <c r="B39" s="8" t="n"/>
      <c r="C39" s="9" t="n"/>
      <c r="D39" s="10" t="n"/>
      <c r="E39" s="10" t="n"/>
      <c r="F39" s="10" t="n"/>
      <c r="G39" s="10" t="n"/>
      <c r="H39" s="10" t="n"/>
      <c r="I39" s="11">
        <f>IF(B39="","",DATE(YEAR(B39)+3,12,31))</f>
        <v/>
      </c>
      <c r="J39" s="8" t="n"/>
      <c r="K39" s="9" t="n"/>
      <c r="L39" s="8" t="n"/>
      <c r="M39" s="9" t="n"/>
      <c r="N39" s="8" t="n"/>
      <c r="O39" s="9" t="n"/>
      <c r="P39" s="12">
        <f>IF(C39="","",C39-SUM(K39,M39,O39))</f>
        <v/>
      </c>
      <c r="Q39" s="13">
        <f>IF(A39="","",IF(P39&lt;=0,"eingelöst",IF(AND(I39&lt;&gt;"",TODAY()&gt;I39),"abgelaufen",IF(P39&lt;C39,"teilweise","offen"))))</f>
        <v/>
      </c>
    </row>
    <row r="40">
      <c r="A40" s="7" t="n"/>
      <c r="B40" s="8" t="n"/>
      <c r="C40" s="9" t="n"/>
      <c r="D40" s="10" t="n"/>
      <c r="E40" s="10" t="n"/>
      <c r="F40" s="10" t="n"/>
      <c r="G40" s="10" t="n"/>
      <c r="H40" s="10" t="n"/>
      <c r="I40" s="11">
        <f>IF(B40="","",DATE(YEAR(B40)+3,12,31))</f>
        <v/>
      </c>
      <c r="J40" s="8" t="n"/>
      <c r="K40" s="9" t="n"/>
      <c r="L40" s="8" t="n"/>
      <c r="M40" s="9" t="n"/>
      <c r="N40" s="8" t="n"/>
      <c r="O40" s="9" t="n"/>
      <c r="P40" s="12">
        <f>IF(C40="","",C40-SUM(K40,M40,O40))</f>
        <v/>
      </c>
      <c r="Q40" s="13">
        <f>IF(A40="","",IF(P40&lt;=0,"eingelöst",IF(AND(I40&lt;&gt;"",TODAY()&gt;I40),"abgelaufen",IF(P40&lt;C40,"teilweise","offen"))))</f>
        <v/>
      </c>
    </row>
    <row r="41">
      <c r="A41" s="7" t="n"/>
      <c r="B41" s="8" t="n"/>
      <c r="C41" s="9" t="n"/>
      <c r="D41" s="10" t="n"/>
      <c r="E41" s="10" t="n"/>
      <c r="F41" s="10" t="n"/>
      <c r="G41" s="10" t="n"/>
      <c r="H41" s="10" t="n"/>
      <c r="I41" s="11">
        <f>IF(B41="","",DATE(YEAR(B41)+3,12,31))</f>
        <v/>
      </c>
      <c r="J41" s="8" t="n"/>
      <c r="K41" s="9" t="n"/>
      <c r="L41" s="8" t="n"/>
      <c r="M41" s="9" t="n"/>
      <c r="N41" s="8" t="n"/>
      <c r="O41" s="9" t="n"/>
      <c r="P41" s="12">
        <f>IF(C41="","",C41-SUM(K41,M41,O41))</f>
        <v/>
      </c>
      <c r="Q41" s="13">
        <f>IF(A41="","",IF(P41&lt;=0,"eingelöst",IF(AND(I41&lt;&gt;"",TODAY()&gt;I41),"abgelaufen",IF(P41&lt;C41,"teilweise","offen"))))</f>
        <v/>
      </c>
    </row>
    <row r="42">
      <c r="A42" s="7" t="n"/>
      <c r="B42" s="8" t="n"/>
      <c r="C42" s="9" t="n"/>
      <c r="D42" s="10" t="n"/>
      <c r="E42" s="10" t="n"/>
      <c r="F42" s="10" t="n"/>
      <c r="G42" s="10" t="n"/>
      <c r="H42" s="10" t="n"/>
      <c r="I42" s="11">
        <f>IF(B42="","",DATE(YEAR(B42)+3,12,31))</f>
        <v/>
      </c>
      <c r="J42" s="8" t="n"/>
      <c r="K42" s="9" t="n"/>
      <c r="L42" s="8" t="n"/>
      <c r="M42" s="9" t="n"/>
      <c r="N42" s="8" t="n"/>
      <c r="O42" s="9" t="n"/>
      <c r="P42" s="12">
        <f>IF(C42="","",C42-SUM(K42,M42,O42))</f>
        <v/>
      </c>
      <c r="Q42" s="13">
        <f>IF(A42="","",IF(P42&lt;=0,"eingelöst",IF(AND(I42&lt;&gt;"",TODAY()&gt;I42),"abgelaufen",IF(P42&lt;C42,"teilweise","offen"))))</f>
        <v/>
      </c>
    </row>
    <row r="43">
      <c r="A43" s="7" t="n"/>
      <c r="B43" s="8" t="n"/>
      <c r="C43" s="9" t="n"/>
      <c r="D43" s="10" t="n"/>
      <c r="E43" s="10" t="n"/>
      <c r="F43" s="10" t="n"/>
      <c r="G43" s="10" t="n"/>
      <c r="H43" s="10" t="n"/>
      <c r="I43" s="11">
        <f>IF(B43="","",DATE(YEAR(B43)+3,12,31))</f>
        <v/>
      </c>
      <c r="J43" s="8" t="n"/>
      <c r="K43" s="9" t="n"/>
      <c r="L43" s="8" t="n"/>
      <c r="M43" s="9" t="n"/>
      <c r="N43" s="8" t="n"/>
      <c r="O43" s="9" t="n"/>
      <c r="P43" s="12">
        <f>IF(C43="","",C43-SUM(K43,M43,O43))</f>
        <v/>
      </c>
      <c r="Q43" s="13">
        <f>IF(A43="","",IF(P43&lt;=0,"eingelöst",IF(AND(I43&lt;&gt;"",TODAY()&gt;I43),"abgelaufen",IF(P43&lt;C43,"teilweise","offen"))))</f>
        <v/>
      </c>
    </row>
    <row r="44">
      <c r="A44" s="7" t="n"/>
      <c r="B44" s="8" t="n"/>
      <c r="C44" s="9" t="n"/>
      <c r="D44" s="10" t="n"/>
      <c r="E44" s="10" t="n"/>
      <c r="F44" s="10" t="n"/>
      <c r="G44" s="10" t="n"/>
      <c r="H44" s="10" t="n"/>
      <c r="I44" s="11">
        <f>IF(B44="","",DATE(YEAR(B44)+3,12,31))</f>
        <v/>
      </c>
      <c r="J44" s="8" t="n"/>
      <c r="K44" s="9" t="n"/>
      <c r="L44" s="8" t="n"/>
      <c r="M44" s="9" t="n"/>
      <c r="N44" s="8" t="n"/>
      <c r="O44" s="9" t="n"/>
      <c r="P44" s="12">
        <f>IF(C44="","",C44-SUM(K44,M44,O44))</f>
        <v/>
      </c>
      <c r="Q44" s="13">
        <f>IF(A44="","",IF(P44&lt;=0,"eingelöst",IF(AND(I44&lt;&gt;"",TODAY()&gt;I44),"abgelaufen",IF(P44&lt;C44,"teilweise","offen"))))</f>
        <v/>
      </c>
    </row>
    <row r="45">
      <c r="A45" s="7" t="n"/>
      <c r="B45" s="8" t="n"/>
      <c r="C45" s="9" t="n"/>
      <c r="D45" s="10" t="n"/>
      <c r="E45" s="10" t="n"/>
      <c r="F45" s="10" t="n"/>
      <c r="G45" s="10" t="n"/>
      <c r="H45" s="10" t="n"/>
      <c r="I45" s="11">
        <f>IF(B45="","",DATE(YEAR(B45)+3,12,31))</f>
        <v/>
      </c>
      <c r="J45" s="8" t="n"/>
      <c r="K45" s="9" t="n"/>
      <c r="L45" s="8" t="n"/>
      <c r="M45" s="9" t="n"/>
      <c r="N45" s="8" t="n"/>
      <c r="O45" s="9" t="n"/>
      <c r="P45" s="12">
        <f>IF(C45="","",C45-SUM(K45,M45,O45))</f>
        <v/>
      </c>
      <c r="Q45" s="13">
        <f>IF(A45="","",IF(P45&lt;=0,"eingelöst",IF(AND(I45&lt;&gt;"",TODAY()&gt;I45),"abgelaufen",IF(P45&lt;C45,"teilweise","offen"))))</f>
        <v/>
      </c>
    </row>
    <row r="46">
      <c r="A46" s="7" t="n"/>
      <c r="B46" s="8" t="n"/>
      <c r="C46" s="9" t="n"/>
      <c r="D46" s="10" t="n"/>
      <c r="E46" s="10" t="n"/>
      <c r="F46" s="10" t="n"/>
      <c r="G46" s="10" t="n"/>
      <c r="H46" s="10" t="n"/>
      <c r="I46" s="11">
        <f>IF(B46="","",DATE(YEAR(B46)+3,12,31))</f>
        <v/>
      </c>
      <c r="J46" s="8" t="n"/>
      <c r="K46" s="9" t="n"/>
      <c r="L46" s="8" t="n"/>
      <c r="M46" s="9" t="n"/>
      <c r="N46" s="8" t="n"/>
      <c r="O46" s="9" t="n"/>
      <c r="P46" s="12">
        <f>IF(C46="","",C46-SUM(K46,M46,O46))</f>
        <v/>
      </c>
      <c r="Q46" s="13">
        <f>IF(A46="","",IF(P46&lt;=0,"eingelöst",IF(AND(I46&lt;&gt;"",TODAY()&gt;I46),"abgelaufen",IF(P46&lt;C46,"teilweise","offen"))))</f>
        <v/>
      </c>
    </row>
    <row r="47">
      <c r="A47" s="7" t="n"/>
      <c r="B47" s="8" t="n"/>
      <c r="C47" s="9" t="n"/>
      <c r="D47" s="10" t="n"/>
      <c r="E47" s="10" t="n"/>
      <c r="F47" s="10" t="n"/>
      <c r="G47" s="10" t="n"/>
      <c r="H47" s="10" t="n"/>
      <c r="I47" s="11">
        <f>IF(B47="","",DATE(YEAR(B47)+3,12,31))</f>
        <v/>
      </c>
      <c r="J47" s="8" t="n"/>
      <c r="K47" s="9" t="n"/>
      <c r="L47" s="8" t="n"/>
      <c r="M47" s="9" t="n"/>
      <c r="N47" s="8" t="n"/>
      <c r="O47" s="9" t="n"/>
      <c r="P47" s="12">
        <f>IF(C47="","",C47-SUM(K47,M47,O47))</f>
        <v/>
      </c>
      <c r="Q47" s="13">
        <f>IF(A47="","",IF(P47&lt;=0,"eingelöst",IF(AND(I47&lt;&gt;"",TODAY()&gt;I47),"abgelaufen",IF(P47&lt;C47,"teilweise","offen"))))</f>
        <v/>
      </c>
    </row>
    <row r="48">
      <c r="A48" s="7" t="n"/>
      <c r="B48" s="8" t="n"/>
      <c r="C48" s="9" t="n"/>
      <c r="D48" s="10" t="n"/>
      <c r="E48" s="10" t="n"/>
      <c r="F48" s="10" t="n"/>
      <c r="G48" s="10" t="n"/>
      <c r="H48" s="10" t="n"/>
      <c r="I48" s="11">
        <f>IF(B48="","",DATE(YEAR(B48)+3,12,31))</f>
        <v/>
      </c>
      <c r="J48" s="8" t="n"/>
      <c r="K48" s="9" t="n"/>
      <c r="L48" s="8" t="n"/>
      <c r="M48" s="9" t="n"/>
      <c r="N48" s="8" t="n"/>
      <c r="O48" s="9" t="n"/>
      <c r="P48" s="12">
        <f>IF(C48="","",C48-SUM(K48,M48,O48))</f>
        <v/>
      </c>
      <c r="Q48" s="13">
        <f>IF(A48="","",IF(P48&lt;=0,"eingelöst",IF(AND(I48&lt;&gt;"",TODAY()&gt;I48),"abgelaufen",IF(P48&lt;C48,"teilweise","offen"))))</f>
        <v/>
      </c>
    </row>
    <row r="49">
      <c r="A49" s="7" t="n"/>
      <c r="B49" s="8" t="n"/>
      <c r="C49" s="9" t="n"/>
      <c r="D49" s="10" t="n"/>
      <c r="E49" s="10" t="n"/>
      <c r="F49" s="10" t="n"/>
      <c r="G49" s="10" t="n"/>
      <c r="H49" s="10" t="n"/>
      <c r="I49" s="11">
        <f>IF(B49="","",DATE(YEAR(B49)+3,12,31))</f>
        <v/>
      </c>
      <c r="J49" s="8" t="n"/>
      <c r="K49" s="9" t="n"/>
      <c r="L49" s="8" t="n"/>
      <c r="M49" s="9" t="n"/>
      <c r="N49" s="8" t="n"/>
      <c r="O49" s="9" t="n"/>
      <c r="P49" s="12">
        <f>IF(C49="","",C49-SUM(K49,M49,O49))</f>
        <v/>
      </c>
      <c r="Q49" s="13">
        <f>IF(A49="","",IF(P49&lt;=0,"eingelöst",IF(AND(I49&lt;&gt;"",TODAY()&gt;I49),"abgelaufen",IF(P49&lt;C49,"teilweise","offen"))))</f>
        <v/>
      </c>
    </row>
    <row r="50">
      <c r="A50" s="7" t="n"/>
      <c r="B50" s="8" t="n"/>
      <c r="C50" s="9" t="n"/>
      <c r="D50" s="10" t="n"/>
      <c r="E50" s="10" t="n"/>
      <c r="F50" s="10" t="n"/>
      <c r="G50" s="10" t="n"/>
      <c r="H50" s="10" t="n"/>
      <c r="I50" s="11">
        <f>IF(B50="","",DATE(YEAR(B50)+3,12,31))</f>
        <v/>
      </c>
      <c r="J50" s="8" t="n"/>
      <c r="K50" s="9" t="n"/>
      <c r="L50" s="8" t="n"/>
      <c r="M50" s="9" t="n"/>
      <c r="N50" s="8" t="n"/>
      <c r="O50" s="9" t="n"/>
      <c r="P50" s="12">
        <f>IF(C50="","",C50-SUM(K50,M50,O50))</f>
        <v/>
      </c>
      <c r="Q50" s="13">
        <f>IF(A50="","",IF(P50&lt;=0,"eingelöst",IF(AND(I50&lt;&gt;"",TODAY()&gt;I50),"abgelaufen",IF(P50&lt;C50,"teilweise","offen"))))</f>
        <v/>
      </c>
    </row>
    <row r="51">
      <c r="A51" s="7" t="n"/>
      <c r="B51" s="8" t="n"/>
      <c r="C51" s="9" t="n"/>
      <c r="D51" s="10" t="n"/>
      <c r="E51" s="10" t="n"/>
      <c r="F51" s="10" t="n"/>
      <c r="G51" s="10" t="n"/>
      <c r="H51" s="10" t="n"/>
      <c r="I51" s="11">
        <f>IF(B51="","",DATE(YEAR(B51)+3,12,31))</f>
        <v/>
      </c>
      <c r="J51" s="8" t="n"/>
      <c r="K51" s="9" t="n"/>
      <c r="L51" s="8" t="n"/>
      <c r="M51" s="9" t="n"/>
      <c r="N51" s="8" t="n"/>
      <c r="O51" s="9" t="n"/>
      <c r="P51" s="12">
        <f>IF(C51="","",C51-SUM(K51,M51,O51))</f>
        <v/>
      </c>
      <c r="Q51" s="13">
        <f>IF(A51="","",IF(P51&lt;=0,"eingelöst",IF(AND(I51&lt;&gt;"",TODAY()&gt;I51),"abgelaufen",IF(P51&lt;C51,"teilweise","offen"))))</f>
        <v/>
      </c>
    </row>
    <row r="52">
      <c r="A52" s="7" t="n"/>
      <c r="B52" s="8" t="n"/>
      <c r="C52" s="9" t="n"/>
      <c r="D52" s="10" t="n"/>
      <c r="E52" s="10" t="n"/>
      <c r="F52" s="10" t="n"/>
      <c r="G52" s="10" t="n"/>
      <c r="H52" s="10" t="n"/>
      <c r="I52" s="11">
        <f>IF(B52="","",DATE(YEAR(B52)+3,12,31))</f>
        <v/>
      </c>
      <c r="J52" s="8" t="n"/>
      <c r="K52" s="9" t="n"/>
      <c r="L52" s="8" t="n"/>
      <c r="M52" s="9" t="n"/>
      <c r="N52" s="8" t="n"/>
      <c r="O52" s="9" t="n"/>
      <c r="P52" s="12">
        <f>IF(C52="","",C52-SUM(K52,M52,O52))</f>
        <v/>
      </c>
      <c r="Q52" s="13">
        <f>IF(A52="","",IF(P52&lt;=0,"eingelöst",IF(AND(I52&lt;&gt;"",TODAY()&gt;I52),"abgelaufen",IF(P52&lt;C52,"teilweise","offen"))))</f>
        <v/>
      </c>
    </row>
    <row r="53">
      <c r="A53" s="7" t="n"/>
      <c r="B53" s="8" t="n"/>
      <c r="C53" s="9" t="n"/>
      <c r="D53" s="10" t="n"/>
      <c r="E53" s="10" t="n"/>
      <c r="F53" s="10" t="n"/>
      <c r="G53" s="10" t="n"/>
      <c r="H53" s="10" t="n"/>
      <c r="I53" s="11">
        <f>IF(B53="","",DATE(YEAR(B53)+3,12,31))</f>
        <v/>
      </c>
      <c r="J53" s="8" t="n"/>
      <c r="K53" s="9" t="n"/>
      <c r="L53" s="8" t="n"/>
      <c r="M53" s="9" t="n"/>
      <c r="N53" s="8" t="n"/>
      <c r="O53" s="9" t="n"/>
      <c r="P53" s="12">
        <f>IF(C53="","",C53-SUM(K53,M53,O53))</f>
        <v/>
      </c>
      <c r="Q53" s="13">
        <f>IF(A53="","",IF(P53&lt;=0,"eingelöst",IF(AND(I53&lt;&gt;"",TODAY()&gt;I53),"abgelaufen",IF(P53&lt;C53,"teilweise","offen"))))</f>
        <v/>
      </c>
    </row>
    <row r="54">
      <c r="A54" s="7" t="n"/>
      <c r="B54" s="8" t="n"/>
      <c r="C54" s="9" t="n"/>
      <c r="D54" s="10" t="n"/>
      <c r="E54" s="10" t="n"/>
      <c r="F54" s="10" t="n"/>
      <c r="G54" s="10" t="n"/>
      <c r="H54" s="10" t="n"/>
      <c r="I54" s="11">
        <f>IF(B54="","",DATE(YEAR(B54)+3,12,31))</f>
        <v/>
      </c>
      <c r="J54" s="8" t="n"/>
      <c r="K54" s="9" t="n"/>
      <c r="L54" s="8" t="n"/>
      <c r="M54" s="9" t="n"/>
      <c r="N54" s="8" t="n"/>
      <c r="O54" s="9" t="n"/>
      <c r="P54" s="12">
        <f>IF(C54="","",C54-SUM(K54,M54,O54))</f>
        <v/>
      </c>
      <c r="Q54" s="13">
        <f>IF(A54="","",IF(P54&lt;=0,"eingelöst",IF(AND(I54&lt;&gt;"",TODAY()&gt;I54),"abgelaufen",IF(P54&lt;C54,"teilweise","offen"))))</f>
        <v/>
      </c>
    </row>
    <row r="55">
      <c r="A55" s="7" t="n"/>
      <c r="B55" s="8" t="n"/>
      <c r="C55" s="9" t="n"/>
      <c r="D55" s="10" t="n"/>
      <c r="E55" s="10" t="n"/>
      <c r="F55" s="10" t="n"/>
      <c r="G55" s="10" t="n"/>
      <c r="H55" s="10" t="n"/>
      <c r="I55" s="11">
        <f>IF(B55="","",DATE(YEAR(B55)+3,12,31))</f>
        <v/>
      </c>
      <c r="J55" s="8" t="n"/>
      <c r="K55" s="9" t="n"/>
      <c r="L55" s="8" t="n"/>
      <c r="M55" s="9" t="n"/>
      <c r="N55" s="8" t="n"/>
      <c r="O55" s="9" t="n"/>
      <c r="P55" s="12">
        <f>IF(C55="","",C55-SUM(K55,M55,O55))</f>
        <v/>
      </c>
      <c r="Q55" s="13">
        <f>IF(A55="","",IF(P55&lt;=0,"eingelöst",IF(AND(I55&lt;&gt;"",TODAY()&gt;I55),"abgelaufen",IF(P55&lt;C55,"teilweise","offen"))))</f>
        <v/>
      </c>
    </row>
    <row r="56">
      <c r="A56" s="7" t="n"/>
      <c r="B56" s="8" t="n"/>
      <c r="C56" s="9" t="n"/>
      <c r="D56" s="10" t="n"/>
      <c r="E56" s="10" t="n"/>
      <c r="F56" s="10" t="n"/>
      <c r="G56" s="10" t="n"/>
      <c r="H56" s="10" t="n"/>
      <c r="I56" s="11">
        <f>IF(B56="","",DATE(YEAR(B56)+3,12,31))</f>
        <v/>
      </c>
      <c r="J56" s="8" t="n"/>
      <c r="K56" s="9" t="n"/>
      <c r="L56" s="8" t="n"/>
      <c r="M56" s="9" t="n"/>
      <c r="N56" s="8" t="n"/>
      <c r="O56" s="9" t="n"/>
      <c r="P56" s="12">
        <f>IF(C56="","",C56-SUM(K56,M56,O56))</f>
        <v/>
      </c>
      <c r="Q56" s="13">
        <f>IF(A56="","",IF(P56&lt;=0,"eingelöst",IF(AND(I56&lt;&gt;"",TODAY()&gt;I56),"abgelaufen",IF(P56&lt;C56,"teilweise","offen"))))</f>
        <v/>
      </c>
    </row>
    <row r="57">
      <c r="A57" s="7" t="n"/>
      <c r="B57" s="8" t="n"/>
      <c r="C57" s="9" t="n"/>
      <c r="D57" s="10" t="n"/>
      <c r="E57" s="10" t="n"/>
      <c r="F57" s="10" t="n"/>
      <c r="G57" s="10" t="n"/>
      <c r="H57" s="10" t="n"/>
      <c r="I57" s="11">
        <f>IF(B57="","",DATE(YEAR(B57)+3,12,31))</f>
        <v/>
      </c>
      <c r="J57" s="8" t="n"/>
      <c r="K57" s="9" t="n"/>
      <c r="L57" s="8" t="n"/>
      <c r="M57" s="9" t="n"/>
      <c r="N57" s="8" t="n"/>
      <c r="O57" s="9" t="n"/>
      <c r="P57" s="12">
        <f>IF(C57="","",C57-SUM(K57,M57,O57))</f>
        <v/>
      </c>
      <c r="Q57" s="13">
        <f>IF(A57="","",IF(P57&lt;=0,"eingelöst",IF(AND(I57&lt;&gt;"",TODAY()&gt;I57),"abgelaufen",IF(P57&lt;C57,"teilweise","offen"))))</f>
        <v/>
      </c>
    </row>
    <row r="58">
      <c r="A58" s="7" t="n"/>
      <c r="B58" s="8" t="n"/>
      <c r="C58" s="9" t="n"/>
      <c r="D58" s="10" t="n"/>
      <c r="E58" s="10" t="n"/>
      <c r="F58" s="10" t="n"/>
      <c r="G58" s="10" t="n"/>
      <c r="H58" s="10" t="n"/>
      <c r="I58" s="11">
        <f>IF(B58="","",DATE(YEAR(B58)+3,12,31))</f>
        <v/>
      </c>
      <c r="J58" s="8" t="n"/>
      <c r="K58" s="9" t="n"/>
      <c r="L58" s="8" t="n"/>
      <c r="M58" s="9" t="n"/>
      <c r="N58" s="8" t="n"/>
      <c r="O58" s="9" t="n"/>
      <c r="P58" s="12">
        <f>IF(C58="","",C58-SUM(K58,M58,O58))</f>
        <v/>
      </c>
      <c r="Q58" s="13">
        <f>IF(A58="","",IF(P58&lt;=0,"eingelöst",IF(AND(I58&lt;&gt;"",TODAY()&gt;I58),"abgelaufen",IF(P58&lt;C58,"teilweise","offen"))))</f>
        <v/>
      </c>
    </row>
    <row r="59">
      <c r="A59" s="7" t="n"/>
      <c r="B59" s="8" t="n"/>
      <c r="C59" s="9" t="n"/>
      <c r="D59" s="10" t="n"/>
      <c r="E59" s="10" t="n"/>
      <c r="F59" s="10" t="n"/>
      <c r="G59" s="10" t="n"/>
      <c r="H59" s="10" t="n"/>
      <c r="I59" s="11">
        <f>IF(B59="","",DATE(YEAR(B59)+3,12,31))</f>
        <v/>
      </c>
      <c r="J59" s="8" t="n"/>
      <c r="K59" s="9" t="n"/>
      <c r="L59" s="8" t="n"/>
      <c r="M59" s="9" t="n"/>
      <c r="N59" s="8" t="n"/>
      <c r="O59" s="9" t="n"/>
      <c r="P59" s="12">
        <f>IF(C59="","",C59-SUM(K59,M59,O59))</f>
        <v/>
      </c>
      <c r="Q59" s="13">
        <f>IF(A59="","",IF(P59&lt;=0,"eingelöst",IF(AND(I59&lt;&gt;"",TODAY()&gt;I59),"abgelaufen",IF(P59&lt;C59,"teilweise","offen"))))</f>
        <v/>
      </c>
    </row>
    <row r="60">
      <c r="A60" s="7" t="n"/>
      <c r="B60" s="8" t="n"/>
      <c r="C60" s="9" t="n"/>
      <c r="D60" s="10" t="n"/>
      <c r="E60" s="10" t="n"/>
      <c r="F60" s="10" t="n"/>
      <c r="G60" s="10" t="n"/>
      <c r="H60" s="10" t="n"/>
      <c r="I60" s="11">
        <f>IF(B60="","",DATE(YEAR(B60)+3,12,31))</f>
        <v/>
      </c>
      <c r="J60" s="8" t="n"/>
      <c r="K60" s="9" t="n"/>
      <c r="L60" s="8" t="n"/>
      <c r="M60" s="9" t="n"/>
      <c r="N60" s="8" t="n"/>
      <c r="O60" s="9" t="n"/>
      <c r="P60" s="12">
        <f>IF(C60="","",C60-SUM(K60,M60,O60))</f>
        <v/>
      </c>
      <c r="Q60" s="13">
        <f>IF(A60="","",IF(P60&lt;=0,"eingelöst",IF(AND(I60&lt;&gt;"",TODAY()&gt;I60),"abgelaufen",IF(P60&lt;C60,"teilweise","offen"))))</f>
        <v/>
      </c>
    </row>
    <row r="61">
      <c r="A61" s="7" t="n"/>
      <c r="B61" s="8" t="n"/>
      <c r="C61" s="9" t="n"/>
      <c r="D61" s="10" t="n"/>
      <c r="E61" s="10" t="n"/>
      <c r="F61" s="10" t="n"/>
      <c r="G61" s="10" t="n"/>
      <c r="H61" s="10" t="n"/>
      <c r="I61" s="11">
        <f>IF(B61="","",DATE(YEAR(B61)+3,12,31))</f>
        <v/>
      </c>
      <c r="J61" s="8" t="n"/>
      <c r="K61" s="9" t="n"/>
      <c r="L61" s="8" t="n"/>
      <c r="M61" s="9" t="n"/>
      <c r="N61" s="8" t="n"/>
      <c r="O61" s="9" t="n"/>
      <c r="P61" s="12">
        <f>IF(C61="","",C61-SUM(K61,M61,O61))</f>
        <v/>
      </c>
      <c r="Q61" s="13">
        <f>IF(A61="","",IF(P61&lt;=0,"eingelöst",IF(AND(I61&lt;&gt;"",TODAY()&gt;I61),"abgelaufen",IF(P61&lt;C61,"teilweise","offen"))))</f>
        <v/>
      </c>
    </row>
    <row r="62">
      <c r="A62" s="7" t="n"/>
      <c r="B62" s="8" t="n"/>
      <c r="C62" s="9" t="n"/>
      <c r="D62" s="10" t="n"/>
      <c r="E62" s="10" t="n"/>
      <c r="F62" s="10" t="n"/>
      <c r="G62" s="10" t="n"/>
      <c r="H62" s="10" t="n"/>
      <c r="I62" s="11">
        <f>IF(B62="","",DATE(YEAR(B62)+3,12,31))</f>
        <v/>
      </c>
      <c r="J62" s="8" t="n"/>
      <c r="K62" s="9" t="n"/>
      <c r="L62" s="8" t="n"/>
      <c r="M62" s="9" t="n"/>
      <c r="N62" s="8" t="n"/>
      <c r="O62" s="9" t="n"/>
      <c r="P62" s="12">
        <f>IF(C62="","",C62-SUM(K62,M62,O62))</f>
        <v/>
      </c>
      <c r="Q62" s="13">
        <f>IF(A62="","",IF(P62&lt;=0,"eingelöst",IF(AND(I62&lt;&gt;"",TODAY()&gt;I62),"abgelaufen",IF(P62&lt;C62,"teilweise","offen"))))</f>
        <v/>
      </c>
    </row>
    <row r="63">
      <c r="A63" s="7" t="n"/>
      <c r="B63" s="8" t="n"/>
      <c r="C63" s="9" t="n"/>
      <c r="D63" s="10" t="n"/>
      <c r="E63" s="10" t="n"/>
      <c r="F63" s="10" t="n"/>
      <c r="G63" s="10" t="n"/>
      <c r="H63" s="10" t="n"/>
      <c r="I63" s="11">
        <f>IF(B63="","",DATE(YEAR(B63)+3,12,31))</f>
        <v/>
      </c>
      <c r="J63" s="8" t="n"/>
      <c r="K63" s="9" t="n"/>
      <c r="L63" s="8" t="n"/>
      <c r="M63" s="9" t="n"/>
      <c r="N63" s="8" t="n"/>
      <c r="O63" s="9" t="n"/>
      <c r="P63" s="12">
        <f>IF(C63="","",C63-SUM(K63,M63,O63))</f>
        <v/>
      </c>
      <c r="Q63" s="13">
        <f>IF(A63="","",IF(P63&lt;=0,"eingelöst",IF(AND(I63&lt;&gt;"",TODAY()&gt;I63),"abgelaufen",IF(P63&lt;C63,"teilweise","offen"))))</f>
        <v/>
      </c>
    </row>
    <row r="64">
      <c r="A64" s="7" t="n"/>
      <c r="B64" s="8" t="n"/>
      <c r="C64" s="9" t="n"/>
      <c r="D64" s="10" t="n"/>
      <c r="E64" s="10" t="n"/>
      <c r="F64" s="10" t="n"/>
      <c r="G64" s="10" t="n"/>
      <c r="H64" s="10" t="n"/>
      <c r="I64" s="11">
        <f>IF(B64="","",DATE(YEAR(B64)+3,12,31))</f>
        <v/>
      </c>
      <c r="J64" s="8" t="n"/>
      <c r="K64" s="9" t="n"/>
      <c r="L64" s="8" t="n"/>
      <c r="M64" s="9" t="n"/>
      <c r="N64" s="8" t="n"/>
      <c r="O64" s="9" t="n"/>
      <c r="P64" s="12">
        <f>IF(C64="","",C64-SUM(K64,M64,O64))</f>
        <v/>
      </c>
      <c r="Q64" s="13">
        <f>IF(A64="","",IF(P64&lt;=0,"eingelöst",IF(AND(I64&lt;&gt;"",TODAY()&gt;I64),"abgelaufen",IF(P64&lt;C64,"teilweise","offen"))))</f>
        <v/>
      </c>
    </row>
    <row r="65">
      <c r="A65" s="7" t="n"/>
      <c r="B65" s="8" t="n"/>
      <c r="C65" s="9" t="n"/>
      <c r="D65" s="10" t="n"/>
      <c r="E65" s="10" t="n"/>
      <c r="F65" s="10" t="n"/>
      <c r="G65" s="10" t="n"/>
      <c r="H65" s="10" t="n"/>
      <c r="I65" s="11">
        <f>IF(B65="","",DATE(YEAR(B65)+3,12,31))</f>
        <v/>
      </c>
      <c r="J65" s="8" t="n"/>
      <c r="K65" s="9" t="n"/>
      <c r="L65" s="8" t="n"/>
      <c r="M65" s="9" t="n"/>
      <c r="N65" s="8" t="n"/>
      <c r="O65" s="9" t="n"/>
      <c r="P65" s="12">
        <f>IF(C65="","",C65-SUM(K65,M65,O65))</f>
        <v/>
      </c>
      <c r="Q65" s="13">
        <f>IF(A65="","",IF(P65&lt;=0,"eingelöst",IF(AND(I65&lt;&gt;"",TODAY()&gt;I65),"abgelaufen",IF(P65&lt;C65,"teilweise","offen"))))</f>
        <v/>
      </c>
    </row>
    <row r="66">
      <c r="A66" s="7" t="n"/>
      <c r="B66" s="8" t="n"/>
      <c r="C66" s="9" t="n"/>
      <c r="D66" s="10" t="n"/>
      <c r="E66" s="10" t="n"/>
      <c r="F66" s="10" t="n"/>
      <c r="G66" s="10" t="n"/>
      <c r="H66" s="10" t="n"/>
      <c r="I66" s="11">
        <f>IF(B66="","",DATE(YEAR(B66)+3,12,31))</f>
        <v/>
      </c>
      <c r="J66" s="8" t="n"/>
      <c r="K66" s="9" t="n"/>
      <c r="L66" s="8" t="n"/>
      <c r="M66" s="9" t="n"/>
      <c r="N66" s="8" t="n"/>
      <c r="O66" s="9" t="n"/>
      <c r="P66" s="12">
        <f>IF(C66="","",C66-SUM(K66,M66,O66))</f>
        <v/>
      </c>
      <c r="Q66" s="13">
        <f>IF(A66="","",IF(P66&lt;=0,"eingelöst",IF(AND(I66&lt;&gt;"",TODAY()&gt;I66),"abgelaufen",IF(P66&lt;C66,"teilweise","offen"))))</f>
        <v/>
      </c>
    </row>
    <row r="67">
      <c r="A67" s="7" t="n"/>
      <c r="B67" s="8" t="n"/>
      <c r="C67" s="9" t="n"/>
      <c r="D67" s="10" t="n"/>
      <c r="E67" s="10" t="n"/>
      <c r="F67" s="10" t="n"/>
      <c r="G67" s="10" t="n"/>
      <c r="H67" s="10" t="n"/>
      <c r="I67" s="11">
        <f>IF(B67="","",DATE(YEAR(B67)+3,12,31))</f>
        <v/>
      </c>
      <c r="J67" s="8" t="n"/>
      <c r="K67" s="9" t="n"/>
      <c r="L67" s="8" t="n"/>
      <c r="M67" s="9" t="n"/>
      <c r="N67" s="8" t="n"/>
      <c r="O67" s="9" t="n"/>
      <c r="P67" s="12">
        <f>IF(C67="","",C67-SUM(K67,M67,O67))</f>
        <v/>
      </c>
      <c r="Q67" s="13">
        <f>IF(A67="","",IF(P67&lt;=0,"eingelöst",IF(AND(I67&lt;&gt;"",TODAY()&gt;I67),"abgelaufen",IF(P67&lt;C67,"teilweise","offen"))))</f>
        <v/>
      </c>
    </row>
    <row r="68">
      <c r="A68" s="7" t="n"/>
      <c r="B68" s="8" t="n"/>
      <c r="C68" s="9" t="n"/>
      <c r="D68" s="10" t="n"/>
      <c r="E68" s="10" t="n"/>
      <c r="F68" s="10" t="n"/>
      <c r="G68" s="10" t="n"/>
      <c r="H68" s="10" t="n"/>
      <c r="I68" s="11">
        <f>IF(B68="","",DATE(YEAR(B68)+3,12,31))</f>
        <v/>
      </c>
      <c r="J68" s="8" t="n"/>
      <c r="K68" s="9" t="n"/>
      <c r="L68" s="8" t="n"/>
      <c r="M68" s="9" t="n"/>
      <c r="N68" s="8" t="n"/>
      <c r="O68" s="9" t="n"/>
      <c r="P68" s="12">
        <f>IF(C68="","",C68-SUM(K68,M68,O68))</f>
        <v/>
      </c>
      <c r="Q68" s="13">
        <f>IF(A68="","",IF(P68&lt;=0,"eingelöst",IF(AND(I68&lt;&gt;"",TODAY()&gt;I68),"abgelaufen",IF(P68&lt;C68,"teilweise","offen"))))</f>
        <v/>
      </c>
    </row>
    <row r="69">
      <c r="A69" s="7" t="n"/>
      <c r="B69" s="8" t="n"/>
      <c r="C69" s="9" t="n"/>
      <c r="D69" s="10" t="n"/>
      <c r="E69" s="10" t="n"/>
      <c r="F69" s="10" t="n"/>
      <c r="G69" s="10" t="n"/>
      <c r="H69" s="10" t="n"/>
      <c r="I69" s="11">
        <f>IF(B69="","",DATE(YEAR(B69)+3,12,31))</f>
        <v/>
      </c>
      <c r="J69" s="8" t="n"/>
      <c r="K69" s="9" t="n"/>
      <c r="L69" s="8" t="n"/>
      <c r="M69" s="9" t="n"/>
      <c r="N69" s="8" t="n"/>
      <c r="O69" s="9" t="n"/>
      <c r="P69" s="12">
        <f>IF(C69="","",C69-SUM(K69,M69,O69))</f>
        <v/>
      </c>
      <c r="Q69" s="13">
        <f>IF(A69="","",IF(P69&lt;=0,"eingelöst",IF(AND(I69&lt;&gt;"",TODAY()&gt;I69),"abgelaufen",IF(P69&lt;C69,"teilweise","offen"))))</f>
        <v/>
      </c>
    </row>
    <row r="70">
      <c r="A70" s="7" t="n"/>
      <c r="B70" s="8" t="n"/>
      <c r="C70" s="9" t="n"/>
      <c r="D70" s="10" t="n"/>
      <c r="E70" s="10" t="n"/>
      <c r="F70" s="10" t="n"/>
      <c r="G70" s="10" t="n"/>
      <c r="H70" s="10" t="n"/>
      <c r="I70" s="11">
        <f>IF(B70="","",DATE(YEAR(B70)+3,12,31))</f>
        <v/>
      </c>
      <c r="J70" s="8" t="n"/>
      <c r="K70" s="9" t="n"/>
      <c r="L70" s="8" t="n"/>
      <c r="M70" s="9" t="n"/>
      <c r="N70" s="8" t="n"/>
      <c r="O70" s="9" t="n"/>
      <c r="P70" s="12">
        <f>IF(C70="","",C70-SUM(K70,M70,O70))</f>
        <v/>
      </c>
      <c r="Q70" s="13">
        <f>IF(A70="","",IF(P70&lt;=0,"eingelöst",IF(AND(I70&lt;&gt;"",TODAY()&gt;I70),"abgelaufen",IF(P70&lt;C70,"teilweise","offen"))))</f>
        <v/>
      </c>
    </row>
    <row r="71">
      <c r="A71" s="7" t="n"/>
      <c r="B71" s="8" t="n"/>
      <c r="C71" s="9" t="n"/>
      <c r="D71" s="10" t="n"/>
      <c r="E71" s="10" t="n"/>
      <c r="F71" s="10" t="n"/>
      <c r="G71" s="10" t="n"/>
      <c r="H71" s="10" t="n"/>
      <c r="I71" s="11">
        <f>IF(B71="","",DATE(YEAR(B71)+3,12,31))</f>
        <v/>
      </c>
      <c r="J71" s="8" t="n"/>
      <c r="K71" s="9" t="n"/>
      <c r="L71" s="8" t="n"/>
      <c r="M71" s="9" t="n"/>
      <c r="N71" s="8" t="n"/>
      <c r="O71" s="9" t="n"/>
      <c r="P71" s="12">
        <f>IF(C71="","",C71-SUM(K71,M71,O71))</f>
        <v/>
      </c>
      <c r="Q71" s="13">
        <f>IF(A71="","",IF(P71&lt;=0,"eingelöst",IF(AND(I71&lt;&gt;"",TODAY()&gt;I71),"abgelaufen",IF(P71&lt;C71,"teilweise","offen"))))</f>
        <v/>
      </c>
    </row>
    <row r="72">
      <c r="A72" s="7" t="n"/>
      <c r="B72" s="8" t="n"/>
      <c r="C72" s="9" t="n"/>
      <c r="D72" s="10" t="n"/>
      <c r="E72" s="10" t="n"/>
      <c r="F72" s="10" t="n"/>
      <c r="G72" s="10" t="n"/>
      <c r="H72" s="10" t="n"/>
      <c r="I72" s="11">
        <f>IF(B72="","",DATE(YEAR(B72)+3,12,31))</f>
        <v/>
      </c>
      <c r="J72" s="8" t="n"/>
      <c r="K72" s="9" t="n"/>
      <c r="L72" s="8" t="n"/>
      <c r="M72" s="9" t="n"/>
      <c r="N72" s="8" t="n"/>
      <c r="O72" s="9" t="n"/>
      <c r="P72" s="12">
        <f>IF(C72="","",C72-SUM(K72,M72,O72))</f>
        <v/>
      </c>
      <c r="Q72" s="13">
        <f>IF(A72="","",IF(P72&lt;=0,"eingelöst",IF(AND(I72&lt;&gt;"",TODAY()&gt;I72),"abgelaufen",IF(P72&lt;C72,"teilweise","offen"))))</f>
        <v/>
      </c>
    </row>
    <row r="73">
      <c r="A73" s="7" t="n"/>
      <c r="B73" s="8" t="n"/>
      <c r="C73" s="9" t="n"/>
      <c r="D73" s="10" t="n"/>
      <c r="E73" s="10" t="n"/>
      <c r="F73" s="10" t="n"/>
      <c r="G73" s="10" t="n"/>
      <c r="H73" s="10" t="n"/>
      <c r="I73" s="11">
        <f>IF(B73="","",DATE(YEAR(B73)+3,12,31))</f>
        <v/>
      </c>
      <c r="J73" s="8" t="n"/>
      <c r="K73" s="9" t="n"/>
      <c r="L73" s="8" t="n"/>
      <c r="M73" s="9" t="n"/>
      <c r="N73" s="8" t="n"/>
      <c r="O73" s="9" t="n"/>
      <c r="P73" s="12">
        <f>IF(C73="","",C73-SUM(K73,M73,O73))</f>
        <v/>
      </c>
      <c r="Q73" s="13">
        <f>IF(A73="","",IF(P73&lt;=0,"eingelöst",IF(AND(I73&lt;&gt;"",TODAY()&gt;I73),"abgelaufen",IF(P73&lt;C73,"teilweise","offen"))))</f>
        <v/>
      </c>
    </row>
    <row r="74">
      <c r="A74" s="7" t="n"/>
      <c r="B74" s="8" t="n"/>
      <c r="C74" s="9" t="n"/>
      <c r="D74" s="10" t="n"/>
      <c r="E74" s="10" t="n"/>
      <c r="F74" s="10" t="n"/>
      <c r="G74" s="10" t="n"/>
      <c r="H74" s="10" t="n"/>
      <c r="I74" s="11">
        <f>IF(B74="","",DATE(YEAR(B74)+3,12,31))</f>
        <v/>
      </c>
      <c r="J74" s="8" t="n"/>
      <c r="K74" s="9" t="n"/>
      <c r="L74" s="8" t="n"/>
      <c r="M74" s="9" t="n"/>
      <c r="N74" s="8" t="n"/>
      <c r="O74" s="9" t="n"/>
      <c r="P74" s="12">
        <f>IF(C74="","",C74-SUM(K74,M74,O74))</f>
        <v/>
      </c>
      <c r="Q74" s="13">
        <f>IF(A74="","",IF(P74&lt;=0,"eingelöst",IF(AND(I74&lt;&gt;"",TODAY()&gt;I74),"abgelaufen",IF(P74&lt;C74,"teilweise","offen"))))</f>
        <v/>
      </c>
    </row>
    <row r="75">
      <c r="A75" s="7" t="n"/>
      <c r="B75" s="8" t="n"/>
      <c r="C75" s="9" t="n"/>
      <c r="D75" s="10" t="n"/>
      <c r="E75" s="10" t="n"/>
      <c r="F75" s="10" t="n"/>
      <c r="G75" s="10" t="n"/>
      <c r="H75" s="10" t="n"/>
      <c r="I75" s="11">
        <f>IF(B75="","",DATE(YEAR(B75)+3,12,31))</f>
        <v/>
      </c>
      <c r="J75" s="8" t="n"/>
      <c r="K75" s="9" t="n"/>
      <c r="L75" s="8" t="n"/>
      <c r="M75" s="9" t="n"/>
      <c r="N75" s="8" t="n"/>
      <c r="O75" s="9" t="n"/>
      <c r="P75" s="12">
        <f>IF(C75="","",C75-SUM(K75,M75,O75))</f>
        <v/>
      </c>
      <c r="Q75" s="13">
        <f>IF(A75="","",IF(P75&lt;=0,"eingelöst",IF(AND(I75&lt;&gt;"",TODAY()&gt;I75),"abgelaufen",IF(P75&lt;C75,"teilweise","offen"))))</f>
        <v/>
      </c>
    </row>
    <row r="76">
      <c r="A76" s="7" t="n"/>
      <c r="B76" s="8" t="n"/>
      <c r="C76" s="9" t="n"/>
      <c r="D76" s="10" t="n"/>
      <c r="E76" s="10" t="n"/>
      <c r="F76" s="10" t="n"/>
      <c r="G76" s="10" t="n"/>
      <c r="H76" s="10" t="n"/>
      <c r="I76" s="11">
        <f>IF(B76="","",DATE(YEAR(B76)+3,12,31))</f>
        <v/>
      </c>
      <c r="J76" s="8" t="n"/>
      <c r="K76" s="9" t="n"/>
      <c r="L76" s="8" t="n"/>
      <c r="M76" s="9" t="n"/>
      <c r="N76" s="8" t="n"/>
      <c r="O76" s="9" t="n"/>
      <c r="P76" s="12">
        <f>IF(C76="","",C76-SUM(K76,M76,O76))</f>
        <v/>
      </c>
      <c r="Q76" s="13">
        <f>IF(A76="","",IF(P76&lt;=0,"eingelöst",IF(AND(I76&lt;&gt;"",TODAY()&gt;I76),"abgelaufen",IF(P76&lt;C76,"teilweise","offen"))))</f>
        <v/>
      </c>
    </row>
    <row r="77">
      <c r="A77" s="7" t="n"/>
      <c r="B77" s="8" t="n"/>
      <c r="C77" s="9" t="n"/>
      <c r="D77" s="10" t="n"/>
      <c r="E77" s="10" t="n"/>
      <c r="F77" s="10" t="n"/>
      <c r="G77" s="10" t="n"/>
      <c r="H77" s="10" t="n"/>
      <c r="I77" s="11">
        <f>IF(B77="","",DATE(YEAR(B77)+3,12,31))</f>
        <v/>
      </c>
      <c r="J77" s="8" t="n"/>
      <c r="K77" s="9" t="n"/>
      <c r="L77" s="8" t="n"/>
      <c r="M77" s="9" t="n"/>
      <c r="N77" s="8" t="n"/>
      <c r="O77" s="9" t="n"/>
      <c r="P77" s="12">
        <f>IF(C77="","",C77-SUM(K77,M77,O77))</f>
        <v/>
      </c>
      <c r="Q77" s="13">
        <f>IF(A77="","",IF(P77&lt;=0,"eingelöst",IF(AND(I77&lt;&gt;"",TODAY()&gt;I77),"abgelaufen",IF(P77&lt;C77,"teilweise","offen"))))</f>
        <v/>
      </c>
    </row>
    <row r="78">
      <c r="A78" s="7" t="n"/>
      <c r="B78" s="8" t="n"/>
      <c r="C78" s="9" t="n"/>
      <c r="D78" s="10" t="n"/>
      <c r="E78" s="10" t="n"/>
      <c r="F78" s="10" t="n"/>
      <c r="G78" s="10" t="n"/>
      <c r="H78" s="10" t="n"/>
      <c r="I78" s="11">
        <f>IF(B78="","",DATE(YEAR(B78)+3,12,31))</f>
        <v/>
      </c>
      <c r="J78" s="8" t="n"/>
      <c r="K78" s="9" t="n"/>
      <c r="L78" s="8" t="n"/>
      <c r="M78" s="9" t="n"/>
      <c r="N78" s="8" t="n"/>
      <c r="O78" s="9" t="n"/>
      <c r="P78" s="12">
        <f>IF(C78="","",C78-SUM(K78,M78,O78))</f>
        <v/>
      </c>
      <c r="Q78" s="13">
        <f>IF(A78="","",IF(P78&lt;=0,"eingelöst",IF(AND(I78&lt;&gt;"",TODAY()&gt;I78),"abgelaufen",IF(P78&lt;C78,"teilweise","offen"))))</f>
        <v/>
      </c>
    </row>
    <row r="79">
      <c r="A79" s="7" t="n"/>
      <c r="B79" s="8" t="n"/>
      <c r="C79" s="9" t="n"/>
      <c r="D79" s="10" t="n"/>
      <c r="E79" s="10" t="n"/>
      <c r="F79" s="10" t="n"/>
      <c r="G79" s="10" t="n"/>
      <c r="H79" s="10" t="n"/>
      <c r="I79" s="11">
        <f>IF(B79="","",DATE(YEAR(B79)+3,12,31))</f>
        <v/>
      </c>
      <c r="J79" s="8" t="n"/>
      <c r="K79" s="9" t="n"/>
      <c r="L79" s="8" t="n"/>
      <c r="M79" s="9" t="n"/>
      <c r="N79" s="8" t="n"/>
      <c r="O79" s="9" t="n"/>
      <c r="P79" s="12">
        <f>IF(C79="","",C79-SUM(K79,M79,O79))</f>
        <v/>
      </c>
      <c r="Q79" s="13">
        <f>IF(A79="","",IF(P79&lt;=0,"eingelöst",IF(AND(I79&lt;&gt;"",TODAY()&gt;I79),"abgelaufen",IF(P79&lt;C79,"teilweise","offen"))))</f>
        <v/>
      </c>
    </row>
    <row r="80">
      <c r="A80" s="7" t="n"/>
      <c r="B80" s="8" t="n"/>
      <c r="C80" s="9" t="n"/>
      <c r="D80" s="10" t="n"/>
      <c r="E80" s="10" t="n"/>
      <c r="F80" s="10" t="n"/>
      <c r="G80" s="10" t="n"/>
      <c r="H80" s="10" t="n"/>
      <c r="I80" s="11">
        <f>IF(B80="","",DATE(YEAR(B80)+3,12,31))</f>
        <v/>
      </c>
      <c r="J80" s="8" t="n"/>
      <c r="K80" s="9" t="n"/>
      <c r="L80" s="8" t="n"/>
      <c r="M80" s="9" t="n"/>
      <c r="N80" s="8" t="n"/>
      <c r="O80" s="9" t="n"/>
      <c r="P80" s="12">
        <f>IF(C80="","",C80-SUM(K80,M80,O80))</f>
        <v/>
      </c>
      <c r="Q80" s="13">
        <f>IF(A80="","",IF(P80&lt;=0,"eingelöst",IF(AND(I80&lt;&gt;"",TODAY()&gt;I80),"abgelaufen",IF(P80&lt;C80,"teilweise","offen"))))</f>
        <v/>
      </c>
    </row>
    <row r="81">
      <c r="A81" s="7" t="n"/>
      <c r="B81" s="8" t="n"/>
      <c r="C81" s="9" t="n"/>
      <c r="D81" s="10" t="n"/>
      <c r="E81" s="10" t="n"/>
      <c r="F81" s="10" t="n"/>
      <c r="G81" s="10" t="n"/>
      <c r="H81" s="10" t="n"/>
      <c r="I81" s="11">
        <f>IF(B81="","",DATE(YEAR(B81)+3,12,31))</f>
        <v/>
      </c>
      <c r="J81" s="8" t="n"/>
      <c r="K81" s="9" t="n"/>
      <c r="L81" s="8" t="n"/>
      <c r="M81" s="9" t="n"/>
      <c r="N81" s="8" t="n"/>
      <c r="O81" s="9" t="n"/>
      <c r="P81" s="12">
        <f>IF(C81="","",C81-SUM(K81,M81,O81))</f>
        <v/>
      </c>
      <c r="Q81" s="13">
        <f>IF(A81="","",IF(P81&lt;=0,"eingelöst",IF(AND(I81&lt;&gt;"",TODAY()&gt;I81),"abgelaufen",IF(P81&lt;C81,"teilweise","offen"))))</f>
        <v/>
      </c>
    </row>
    <row r="82">
      <c r="A82" s="7" t="n"/>
      <c r="B82" s="8" t="n"/>
      <c r="C82" s="9" t="n"/>
      <c r="D82" s="10" t="n"/>
      <c r="E82" s="10" t="n"/>
      <c r="F82" s="10" t="n"/>
      <c r="G82" s="10" t="n"/>
      <c r="H82" s="10" t="n"/>
      <c r="I82" s="11">
        <f>IF(B82="","",DATE(YEAR(B82)+3,12,31))</f>
        <v/>
      </c>
      <c r="J82" s="8" t="n"/>
      <c r="K82" s="9" t="n"/>
      <c r="L82" s="8" t="n"/>
      <c r="M82" s="9" t="n"/>
      <c r="N82" s="8" t="n"/>
      <c r="O82" s="9" t="n"/>
      <c r="P82" s="12">
        <f>IF(C82="","",C82-SUM(K82,M82,O82))</f>
        <v/>
      </c>
      <c r="Q82" s="13">
        <f>IF(A82="","",IF(P82&lt;=0,"eingelöst",IF(AND(I82&lt;&gt;"",TODAY()&gt;I82),"abgelaufen",IF(P82&lt;C82,"teilweise","offen"))))</f>
        <v/>
      </c>
    </row>
    <row r="83">
      <c r="A83" s="7" t="n"/>
      <c r="B83" s="8" t="n"/>
      <c r="C83" s="9" t="n"/>
      <c r="D83" s="10" t="n"/>
      <c r="E83" s="10" t="n"/>
      <c r="F83" s="10" t="n"/>
      <c r="G83" s="10" t="n"/>
      <c r="H83" s="10" t="n"/>
      <c r="I83" s="11">
        <f>IF(B83="","",DATE(YEAR(B83)+3,12,31))</f>
        <v/>
      </c>
      <c r="J83" s="8" t="n"/>
      <c r="K83" s="9" t="n"/>
      <c r="L83" s="8" t="n"/>
      <c r="M83" s="9" t="n"/>
      <c r="N83" s="8" t="n"/>
      <c r="O83" s="9" t="n"/>
      <c r="P83" s="12">
        <f>IF(C83="","",C83-SUM(K83,M83,O83))</f>
        <v/>
      </c>
      <c r="Q83" s="13">
        <f>IF(A83="","",IF(P83&lt;=0,"eingelöst",IF(AND(I83&lt;&gt;"",TODAY()&gt;I83),"abgelaufen",IF(P83&lt;C83,"teilweise","offen"))))</f>
        <v/>
      </c>
    </row>
    <row r="84">
      <c r="A84" s="7" t="n"/>
      <c r="B84" s="8" t="n"/>
      <c r="C84" s="9" t="n"/>
      <c r="D84" s="10" t="n"/>
      <c r="E84" s="10" t="n"/>
      <c r="F84" s="10" t="n"/>
      <c r="G84" s="10" t="n"/>
      <c r="H84" s="10" t="n"/>
      <c r="I84" s="11">
        <f>IF(B84="","",DATE(YEAR(B84)+3,12,31))</f>
        <v/>
      </c>
      <c r="J84" s="8" t="n"/>
      <c r="K84" s="9" t="n"/>
      <c r="L84" s="8" t="n"/>
      <c r="M84" s="9" t="n"/>
      <c r="N84" s="8" t="n"/>
      <c r="O84" s="9" t="n"/>
      <c r="P84" s="12">
        <f>IF(C84="","",C84-SUM(K84,M84,O84))</f>
        <v/>
      </c>
      <c r="Q84" s="13">
        <f>IF(A84="","",IF(P84&lt;=0,"eingelöst",IF(AND(I84&lt;&gt;"",TODAY()&gt;I84),"abgelaufen",IF(P84&lt;C84,"teilweise","offen"))))</f>
        <v/>
      </c>
    </row>
    <row r="85">
      <c r="A85" s="7" t="n"/>
      <c r="B85" s="8" t="n"/>
      <c r="C85" s="9" t="n"/>
      <c r="D85" s="10" t="n"/>
      <c r="E85" s="10" t="n"/>
      <c r="F85" s="10" t="n"/>
      <c r="G85" s="10" t="n"/>
      <c r="H85" s="10" t="n"/>
      <c r="I85" s="11">
        <f>IF(B85="","",DATE(YEAR(B85)+3,12,31))</f>
        <v/>
      </c>
      <c r="J85" s="8" t="n"/>
      <c r="K85" s="9" t="n"/>
      <c r="L85" s="8" t="n"/>
      <c r="M85" s="9" t="n"/>
      <c r="N85" s="8" t="n"/>
      <c r="O85" s="9" t="n"/>
      <c r="P85" s="12">
        <f>IF(C85="","",C85-SUM(K85,M85,O85))</f>
        <v/>
      </c>
      <c r="Q85" s="13">
        <f>IF(A85="","",IF(P85&lt;=0,"eingelöst",IF(AND(I85&lt;&gt;"",TODAY()&gt;I85),"abgelaufen",IF(P85&lt;C85,"teilweise","offen"))))</f>
        <v/>
      </c>
    </row>
    <row r="86">
      <c r="A86" s="7" t="n"/>
      <c r="B86" s="8" t="n"/>
      <c r="C86" s="9" t="n"/>
      <c r="D86" s="10" t="n"/>
      <c r="E86" s="10" t="n"/>
      <c r="F86" s="10" t="n"/>
      <c r="G86" s="10" t="n"/>
      <c r="H86" s="10" t="n"/>
      <c r="I86" s="11">
        <f>IF(B86="","",DATE(YEAR(B86)+3,12,31))</f>
        <v/>
      </c>
      <c r="J86" s="8" t="n"/>
      <c r="K86" s="9" t="n"/>
      <c r="L86" s="8" t="n"/>
      <c r="M86" s="9" t="n"/>
      <c r="N86" s="8" t="n"/>
      <c r="O86" s="9" t="n"/>
      <c r="P86" s="12">
        <f>IF(C86="","",C86-SUM(K86,M86,O86))</f>
        <v/>
      </c>
      <c r="Q86" s="13">
        <f>IF(A86="","",IF(P86&lt;=0,"eingelöst",IF(AND(I86&lt;&gt;"",TODAY()&gt;I86),"abgelaufen",IF(P86&lt;C86,"teilweise","offen"))))</f>
        <v/>
      </c>
    </row>
    <row r="87">
      <c r="A87" s="7" t="n"/>
      <c r="B87" s="8" t="n"/>
      <c r="C87" s="9" t="n"/>
      <c r="D87" s="10" t="n"/>
      <c r="E87" s="10" t="n"/>
      <c r="F87" s="10" t="n"/>
      <c r="G87" s="10" t="n"/>
      <c r="H87" s="10" t="n"/>
      <c r="I87" s="11">
        <f>IF(B87="","",DATE(YEAR(B87)+3,12,31))</f>
        <v/>
      </c>
      <c r="J87" s="8" t="n"/>
      <c r="K87" s="9" t="n"/>
      <c r="L87" s="8" t="n"/>
      <c r="M87" s="9" t="n"/>
      <c r="N87" s="8" t="n"/>
      <c r="O87" s="9" t="n"/>
      <c r="P87" s="12">
        <f>IF(C87="","",C87-SUM(K87,M87,O87))</f>
        <v/>
      </c>
      <c r="Q87" s="13">
        <f>IF(A87="","",IF(P87&lt;=0,"eingelöst",IF(AND(I87&lt;&gt;"",TODAY()&gt;I87),"abgelaufen",IF(P87&lt;C87,"teilweise","offen"))))</f>
        <v/>
      </c>
    </row>
    <row r="88">
      <c r="A88" s="7" t="n"/>
      <c r="B88" s="8" t="n"/>
      <c r="C88" s="9" t="n"/>
      <c r="D88" s="10" t="n"/>
      <c r="E88" s="10" t="n"/>
      <c r="F88" s="10" t="n"/>
      <c r="G88" s="10" t="n"/>
      <c r="H88" s="10" t="n"/>
      <c r="I88" s="11">
        <f>IF(B88="","",DATE(YEAR(B88)+3,12,31))</f>
        <v/>
      </c>
      <c r="J88" s="8" t="n"/>
      <c r="K88" s="9" t="n"/>
      <c r="L88" s="8" t="n"/>
      <c r="M88" s="9" t="n"/>
      <c r="N88" s="8" t="n"/>
      <c r="O88" s="9" t="n"/>
      <c r="P88" s="12">
        <f>IF(C88="","",C88-SUM(K88,M88,O88))</f>
        <v/>
      </c>
      <c r="Q88" s="13">
        <f>IF(A88="","",IF(P88&lt;=0,"eingelöst",IF(AND(I88&lt;&gt;"",TODAY()&gt;I88),"abgelaufen",IF(P88&lt;C88,"teilweise","offen"))))</f>
        <v/>
      </c>
    </row>
    <row r="89">
      <c r="A89" s="7" t="n"/>
      <c r="B89" s="8" t="n"/>
      <c r="C89" s="9" t="n"/>
      <c r="D89" s="10" t="n"/>
      <c r="E89" s="10" t="n"/>
      <c r="F89" s="10" t="n"/>
      <c r="G89" s="10" t="n"/>
      <c r="H89" s="10" t="n"/>
      <c r="I89" s="11">
        <f>IF(B89="","",DATE(YEAR(B89)+3,12,31))</f>
        <v/>
      </c>
      <c r="J89" s="8" t="n"/>
      <c r="K89" s="9" t="n"/>
      <c r="L89" s="8" t="n"/>
      <c r="M89" s="9" t="n"/>
      <c r="N89" s="8" t="n"/>
      <c r="O89" s="9" t="n"/>
      <c r="P89" s="12">
        <f>IF(C89="","",C89-SUM(K89,M89,O89))</f>
        <v/>
      </c>
      <c r="Q89" s="13">
        <f>IF(A89="","",IF(P89&lt;=0,"eingelöst",IF(AND(I89&lt;&gt;"",TODAY()&gt;I89),"abgelaufen",IF(P89&lt;C89,"teilweise","offen"))))</f>
        <v/>
      </c>
    </row>
    <row r="90">
      <c r="A90" s="7" t="n"/>
      <c r="B90" s="8" t="n"/>
      <c r="C90" s="9" t="n"/>
      <c r="D90" s="10" t="n"/>
      <c r="E90" s="10" t="n"/>
      <c r="F90" s="10" t="n"/>
      <c r="G90" s="10" t="n"/>
      <c r="H90" s="10" t="n"/>
      <c r="I90" s="11">
        <f>IF(B90="","",DATE(YEAR(B90)+3,12,31))</f>
        <v/>
      </c>
      <c r="J90" s="8" t="n"/>
      <c r="K90" s="9" t="n"/>
      <c r="L90" s="8" t="n"/>
      <c r="M90" s="9" t="n"/>
      <c r="N90" s="8" t="n"/>
      <c r="O90" s="9" t="n"/>
      <c r="P90" s="12">
        <f>IF(C90="","",C90-SUM(K90,M90,O90))</f>
        <v/>
      </c>
      <c r="Q90" s="13">
        <f>IF(A90="","",IF(P90&lt;=0,"eingelöst",IF(AND(I90&lt;&gt;"",TODAY()&gt;I90),"abgelaufen",IF(P90&lt;C90,"teilweise","offen"))))</f>
        <v/>
      </c>
    </row>
    <row r="91">
      <c r="A91" s="7" t="n"/>
      <c r="B91" s="8" t="n"/>
      <c r="C91" s="9" t="n"/>
      <c r="D91" s="10" t="n"/>
      <c r="E91" s="10" t="n"/>
      <c r="F91" s="10" t="n"/>
      <c r="G91" s="10" t="n"/>
      <c r="H91" s="10" t="n"/>
      <c r="I91" s="11">
        <f>IF(B91="","",DATE(YEAR(B91)+3,12,31))</f>
        <v/>
      </c>
      <c r="J91" s="8" t="n"/>
      <c r="K91" s="9" t="n"/>
      <c r="L91" s="8" t="n"/>
      <c r="M91" s="9" t="n"/>
      <c r="N91" s="8" t="n"/>
      <c r="O91" s="9" t="n"/>
      <c r="P91" s="12">
        <f>IF(C91="","",C91-SUM(K91,M91,O91))</f>
        <v/>
      </c>
      <c r="Q91" s="13">
        <f>IF(A91="","",IF(P91&lt;=0,"eingelöst",IF(AND(I91&lt;&gt;"",TODAY()&gt;I91),"abgelaufen",IF(P91&lt;C91,"teilweise","offen"))))</f>
        <v/>
      </c>
    </row>
    <row r="92">
      <c r="A92" s="7" t="n"/>
      <c r="B92" s="8" t="n"/>
      <c r="C92" s="9" t="n"/>
      <c r="D92" s="10" t="n"/>
      <c r="E92" s="10" t="n"/>
      <c r="F92" s="10" t="n"/>
      <c r="G92" s="10" t="n"/>
      <c r="H92" s="10" t="n"/>
      <c r="I92" s="11">
        <f>IF(B92="","",DATE(YEAR(B92)+3,12,31))</f>
        <v/>
      </c>
      <c r="J92" s="8" t="n"/>
      <c r="K92" s="9" t="n"/>
      <c r="L92" s="8" t="n"/>
      <c r="M92" s="9" t="n"/>
      <c r="N92" s="8" t="n"/>
      <c r="O92" s="9" t="n"/>
      <c r="P92" s="12">
        <f>IF(C92="","",C92-SUM(K92,M92,O92))</f>
        <v/>
      </c>
      <c r="Q92" s="13">
        <f>IF(A92="","",IF(P92&lt;=0,"eingelöst",IF(AND(I92&lt;&gt;"",TODAY()&gt;I92),"abgelaufen",IF(P92&lt;C92,"teilweise","offen"))))</f>
        <v/>
      </c>
    </row>
    <row r="93">
      <c r="A93" s="7" t="n"/>
      <c r="B93" s="8" t="n"/>
      <c r="C93" s="9" t="n"/>
      <c r="D93" s="10" t="n"/>
      <c r="E93" s="10" t="n"/>
      <c r="F93" s="10" t="n"/>
      <c r="G93" s="10" t="n"/>
      <c r="H93" s="10" t="n"/>
      <c r="I93" s="11">
        <f>IF(B93="","",DATE(YEAR(B93)+3,12,31))</f>
        <v/>
      </c>
      <c r="J93" s="8" t="n"/>
      <c r="K93" s="9" t="n"/>
      <c r="L93" s="8" t="n"/>
      <c r="M93" s="9" t="n"/>
      <c r="N93" s="8" t="n"/>
      <c r="O93" s="9" t="n"/>
      <c r="P93" s="12">
        <f>IF(C93="","",C93-SUM(K93,M93,O93))</f>
        <v/>
      </c>
      <c r="Q93" s="13">
        <f>IF(A93="","",IF(P93&lt;=0,"eingelöst",IF(AND(I93&lt;&gt;"",TODAY()&gt;I93),"abgelaufen",IF(P93&lt;C93,"teilweise","offen"))))</f>
        <v/>
      </c>
    </row>
    <row r="94">
      <c r="A94" s="7" t="n"/>
      <c r="B94" s="8" t="n"/>
      <c r="C94" s="9" t="n"/>
      <c r="D94" s="10" t="n"/>
      <c r="E94" s="10" t="n"/>
      <c r="F94" s="10" t="n"/>
      <c r="G94" s="10" t="n"/>
      <c r="H94" s="10" t="n"/>
      <c r="I94" s="11">
        <f>IF(B94="","",DATE(YEAR(B94)+3,12,31))</f>
        <v/>
      </c>
      <c r="J94" s="8" t="n"/>
      <c r="K94" s="9" t="n"/>
      <c r="L94" s="8" t="n"/>
      <c r="M94" s="9" t="n"/>
      <c r="N94" s="8" t="n"/>
      <c r="O94" s="9" t="n"/>
      <c r="P94" s="12">
        <f>IF(C94="","",C94-SUM(K94,M94,O94))</f>
        <v/>
      </c>
      <c r="Q94" s="13">
        <f>IF(A94="","",IF(P94&lt;=0,"eingelöst",IF(AND(I94&lt;&gt;"",TODAY()&gt;I94),"abgelaufen",IF(P94&lt;C94,"teilweise","offen"))))</f>
        <v/>
      </c>
    </row>
    <row r="95">
      <c r="A95" s="7" t="n"/>
      <c r="B95" s="8" t="n"/>
      <c r="C95" s="9" t="n"/>
      <c r="D95" s="10" t="n"/>
      <c r="E95" s="10" t="n"/>
      <c r="F95" s="10" t="n"/>
      <c r="G95" s="10" t="n"/>
      <c r="H95" s="10" t="n"/>
      <c r="I95" s="11">
        <f>IF(B95="","",DATE(YEAR(B95)+3,12,31))</f>
        <v/>
      </c>
      <c r="J95" s="8" t="n"/>
      <c r="K95" s="9" t="n"/>
      <c r="L95" s="8" t="n"/>
      <c r="M95" s="9" t="n"/>
      <c r="N95" s="8" t="n"/>
      <c r="O95" s="9" t="n"/>
      <c r="P95" s="12">
        <f>IF(C95="","",C95-SUM(K95,M95,O95))</f>
        <v/>
      </c>
      <c r="Q95" s="13">
        <f>IF(A95="","",IF(P95&lt;=0,"eingelöst",IF(AND(I95&lt;&gt;"",TODAY()&gt;I95),"abgelaufen",IF(P95&lt;C95,"teilweise","offen"))))</f>
        <v/>
      </c>
    </row>
    <row r="96">
      <c r="A96" s="7" t="n"/>
      <c r="B96" s="8" t="n"/>
      <c r="C96" s="9" t="n"/>
      <c r="D96" s="10" t="n"/>
      <c r="E96" s="10" t="n"/>
      <c r="F96" s="10" t="n"/>
      <c r="G96" s="10" t="n"/>
      <c r="H96" s="10" t="n"/>
      <c r="I96" s="11">
        <f>IF(B96="","",DATE(YEAR(B96)+3,12,31))</f>
        <v/>
      </c>
      <c r="J96" s="8" t="n"/>
      <c r="K96" s="9" t="n"/>
      <c r="L96" s="8" t="n"/>
      <c r="M96" s="9" t="n"/>
      <c r="N96" s="8" t="n"/>
      <c r="O96" s="9" t="n"/>
      <c r="P96" s="12">
        <f>IF(C96="","",C96-SUM(K96,M96,O96))</f>
        <v/>
      </c>
      <c r="Q96" s="13">
        <f>IF(A96="","",IF(P96&lt;=0,"eingelöst",IF(AND(I96&lt;&gt;"",TODAY()&gt;I96),"abgelaufen",IF(P96&lt;C96,"teilweise","offen"))))</f>
        <v/>
      </c>
    </row>
    <row r="97">
      <c r="A97" s="7" t="n"/>
      <c r="B97" s="8" t="n"/>
      <c r="C97" s="9" t="n"/>
      <c r="D97" s="10" t="n"/>
      <c r="E97" s="10" t="n"/>
      <c r="F97" s="10" t="n"/>
      <c r="G97" s="10" t="n"/>
      <c r="H97" s="10" t="n"/>
      <c r="I97" s="11">
        <f>IF(B97="","",DATE(YEAR(B97)+3,12,31))</f>
        <v/>
      </c>
      <c r="J97" s="8" t="n"/>
      <c r="K97" s="9" t="n"/>
      <c r="L97" s="8" t="n"/>
      <c r="M97" s="9" t="n"/>
      <c r="N97" s="8" t="n"/>
      <c r="O97" s="9" t="n"/>
      <c r="P97" s="12">
        <f>IF(C97="","",C97-SUM(K97,M97,O97))</f>
        <v/>
      </c>
      <c r="Q97" s="13">
        <f>IF(A97="","",IF(P97&lt;=0,"eingelöst",IF(AND(I97&lt;&gt;"",TODAY()&gt;I97),"abgelaufen",IF(P97&lt;C97,"teilweise","offen"))))</f>
        <v/>
      </c>
    </row>
    <row r="98">
      <c r="A98" s="7" t="n"/>
      <c r="B98" s="8" t="n"/>
      <c r="C98" s="9" t="n"/>
      <c r="D98" s="10" t="n"/>
      <c r="E98" s="10" t="n"/>
      <c r="F98" s="10" t="n"/>
      <c r="G98" s="10" t="n"/>
      <c r="H98" s="10" t="n"/>
      <c r="I98" s="11">
        <f>IF(B98="","",DATE(YEAR(B98)+3,12,31))</f>
        <v/>
      </c>
      <c r="J98" s="8" t="n"/>
      <c r="K98" s="9" t="n"/>
      <c r="L98" s="8" t="n"/>
      <c r="M98" s="9" t="n"/>
      <c r="N98" s="8" t="n"/>
      <c r="O98" s="9" t="n"/>
      <c r="P98" s="12">
        <f>IF(C98="","",C98-SUM(K98,M98,O98))</f>
        <v/>
      </c>
      <c r="Q98" s="13">
        <f>IF(A98="","",IF(P98&lt;=0,"eingelöst",IF(AND(I98&lt;&gt;"",TODAY()&gt;I98),"abgelaufen",IF(P98&lt;C98,"teilweise","offen"))))</f>
        <v/>
      </c>
    </row>
    <row r="99">
      <c r="A99" s="7" t="n"/>
      <c r="B99" s="8" t="n"/>
      <c r="C99" s="9" t="n"/>
      <c r="D99" s="10" t="n"/>
      <c r="E99" s="10" t="n"/>
      <c r="F99" s="10" t="n"/>
      <c r="G99" s="10" t="n"/>
      <c r="H99" s="10" t="n"/>
      <c r="I99" s="11">
        <f>IF(B99="","",DATE(YEAR(B99)+3,12,31))</f>
        <v/>
      </c>
      <c r="J99" s="8" t="n"/>
      <c r="K99" s="9" t="n"/>
      <c r="L99" s="8" t="n"/>
      <c r="M99" s="9" t="n"/>
      <c r="N99" s="8" t="n"/>
      <c r="O99" s="9" t="n"/>
      <c r="P99" s="12">
        <f>IF(C99="","",C99-SUM(K99,M99,O99))</f>
        <v/>
      </c>
      <c r="Q99" s="13">
        <f>IF(A99="","",IF(P99&lt;=0,"eingelöst",IF(AND(I99&lt;&gt;"",TODAY()&gt;I99),"abgelaufen",IF(P99&lt;C99,"teilweise","offen"))))</f>
        <v/>
      </c>
    </row>
    <row r="100">
      <c r="A100" s="7" t="n"/>
      <c r="B100" s="8" t="n"/>
      <c r="C100" s="9" t="n"/>
      <c r="D100" s="10" t="n"/>
      <c r="E100" s="10" t="n"/>
      <c r="F100" s="10" t="n"/>
      <c r="G100" s="10" t="n"/>
      <c r="H100" s="10" t="n"/>
      <c r="I100" s="11">
        <f>IF(B100="","",DATE(YEAR(B100)+3,12,31))</f>
        <v/>
      </c>
      <c r="J100" s="8" t="n"/>
      <c r="K100" s="9" t="n"/>
      <c r="L100" s="8" t="n"/>
      <c r="M100" s="9" t="n"/>
      <c r="N100" s="8" t="n"/>
      <c r="O100" s="9" t="n"/>
      <c r="P100" s="12">
        <f>IF(C100="","",C100-SUM(K100,M100,O100))</f>
        <v/>
      </c>
      <c r="Q100" s="13">
        <f>IF(A100="","",IF(P100&lt;=0,"eingelöst",IF(AND(I100&lt;&gt;"",TODAY()&gt;I100),"abgelaufen",IF(P100&lt;C100,"teilweise","offen"))))</f>
        <v/>
      </c>
    </row>
    <row r="101">
      <c r="A101" s="7" t="n"/>
      <c r="B101" s="8" t="n"/>
      <c r="C101" s="9" t="n"/>
      <c r="D101" s="10" t="n"/>
      <c r="E101" s="10" t="n"/>
      <c r="F101" s="10" t="n"/>
      <c r="G101" s="10" t="n"/>
      <c r="H101" s="10" t="n"/>
      <c r="I101" s="11">
        <f>IF(B101="","",DATE(YEAR(B101)+3,12,31))</f>
        <v/>
      </c>
      <c r="J101" s="8" t="n"/>
      <c r="K101" s="9" t="n"/>
      <c r="L101" s="8" t="n"/>
      <c r="M101" s="9" t="n"/>
      <c r="N101" s="8" t="n"/>
      <c r="O101" s="9" t="n"/>
      <c r="P101" s="12">
        <f>IF(C101="","",C101-SUM(K101,M101,O101))</f>
        <v/>
      </c>
      <c r="Q101" s="13">
        <f>IF(A101="","",IF(P101&lt;=0,"eingelöst",IF(AND(I101&lt;&gt;"",TODAY()&gt;I101),"abgelaufen",IF(P101&lt;C101,"teilweise","offen"))))</f>
        <v/>
      </c>
    </row>
    <row r="102">
      <c r="A102" s="7" t="n"/>
      <c r="B102" s="8" t="n"/>
      <c r="C102" s="9" t="n"/>
      <c r="D102" s="10" t="n"/>
      <c r="E102" s="10" t="n"/>
      <c r="F102" s="10" t="n"/>
      <c r="G102" s="10" t="n"/>
      <c r="H102" s="10" t="n"/>
      <c r="I102" s="11">
        <f>IF(B102="","",DATE(YEAR(B102)+3,12,31))</f>
        <v/>
      </c>
      <c r="J102" s="8" t="n"/>
      <c r="K102" s="9" t="n"/>
      <c r="L102" s="8" t="n"/>
      <c r="M102" s="9" t="n"/>
      <c r="N102" s="8" t="n"/>
      <c r="O102" s="9" t="n"/>
      <c r="P102" s="12">
        <f>IF(C102="","",C102-SUM(K102,M102,O102))</f>
        <v/>
      </c>
      <c r="Q102" s="13">
        <f>IF(A102="","",IF(P102&lt;=0,"eingelöst",IF(AND(I102&lt;&gt;"",TODAY()&gt;I102),"abgelaufen",IF(P102&lt;C102,"teilweise","offen"))))</f>
        <v/>
      </c>
    </row>
    <row r="103">
      <c r="A103" s="7" t="n"/>
      <c r="B103" s="8" t="n"/>
      <c r="C103" s="9" t="n"/>
      <c r="D103" s="10" t="n"/>
      <c r="E103" s="10" t="n"/>
      <c r="F103" s="10" t="n"/>
      <c r="G103" s="10" t="n"/>
      <c r="H103" s="10" t="n"/>
      <c r="I103" s="11">
        <f>IF(B103="","",DATE(YEAR(B103)+3,12,31))</f>
        <v/>
      </c>
      <c r="J103" s="8" t="n"/>
      <c r="K103" s="9" t="n"/>
      <c r="L103" s="8" t="n"/>
      <c r="M103" s="9" t="n"/>
      <c r="N103" s="8" t="n"/>
      <c r="O103" s="9" t="n"/>
      <c r="P103" s="12">
        <f>IF(C103="","",C103-SUM(K103,M103,O103))</f>
        <v/>
      </c>
      <c r="Q103" s="13">
        <f>IF(A103="","",IF(P103&lt;=0,"eingelöst",IF(AND(I103&lt;&gt;"",TODAY()&gt;I103),"abgelaufen",IF(P103&lt;C103,"teilweise","offen"))))</f>
        <v/>
      </c>
    </row>
    <row r="104">
      <c r="A104" s="7" t="n"/>
      <c r="B104" s="8" t="n"/>
      <c r="C104" s="9" t="n"/>
      <c r="D104" s="10" t="n"/>
      <c r="E104" s="10" t="n"/>
      <c r="F104" s="10" t="n"/>
      <c r="G104" s="10" t="n"/>
      <c r="H104" s="10" t="n"/>
      <c r="I104" s="11">
        <f>IF(B104="","",DATE(YEAR(B104)+3,12,31))</f>
        <v/>
      </c>
      <c r="J104" s="8" t="n"/>
      <c r="K104" s="9" t="n"/>
      <c r="L104" s="8" t="n"/>
      <c r="M104" s="9" t="n"/>
      <c r="N104" s="8" t="n"/>
      <c r="O104" s="9" t="n"/>
      <c r="P104" s="12">
        <f>IF(C104="","",C104-SUM(K104,M104,O104))</f>
        <v/>
      </c>
      <c r="Q104" s="13">
        <f>IF(A104="","",IF(P104&lt;=0,"eingelöst",IF(AND(I104&lt;&gt;"",TODAY()&gt;I104),"abgelaufen",IF(P104&lt;C104,"teilweise","offen"))))</f>
        <v/>
      </c>
    </row>
    <row r="105">
      <c r="A105" s="7" t="n"/>
      <c r="B105" s="8" t="n"/>
      <c r="C105" s="9" t="n"/>
      <c r="D105" s="10" t="n"/>
      <c r="E105" s="10" t="n"/>
      <c r="F105" s="10" t="n"/>
      <c r="G105" s="10" t="n"/>
      <c r="H105" s="10" t="n"/>
      <c r="I105" s="11">
        <f>IF(B105="","",DATE(YEAR(B105)+3,12,31))</f>
        <v/>
      </c>
      <c r="J105" s="8" t="n"/>
      <c r="K105" s="9" t="n"/>
      <c r="L105" s="8" t="n"/>
      <c r="M105" s="9" t="n"/>
      <c r="N105" s="8" t="n"/>
      <c r="O105" s="9" t="n"/>
      <c r="P105" s="12">
        <f>IF(C105="","",C105-SUM(K105,M105,O105))</f>
        <v/>
      </c>
      <c r="Q105" s="13">
        <f>IF(A105="","",IF(P105&lt;=0,"eingelöst",IF(AND(I105&lt;&gt;"",TODAY()&gt;I105),"abgelaufen",IF(P105&lt;C105,"teilweise","offen"))))</f>
        <v/>
      </c>
    </row>
    <row r="106">
      <c r="A106" s="7" t="n"/>
      <c r="B106" s="8" t="n"/>
      <c r="C106" s="9" t="n"/>
      <c r="D106" s="10" t="n"/>
      <c r="E106" s="10" t="n"/>
      <c r="F106" s="10" t="n"/>
      <c r="G106" s="10" t="n"/>
      <c r="H106" s="10" t="n"/>
      <c r="I106" s="11">
        <f>IF(B106="","",DATE(YEAR(B106)+3,12,31))</f>
        <v/>
      </c>
      <c r="J106" s="8" t="n"/>
      <c r="K106" s="9" t="n"/>
      <c r="L106" s="8" t="n"/>
      <c r="M106" s="9" t="n"/>
      <c r="N106" s="8" t="n"/>
      <c r="O106" s="9" t="n"/>
      <c r="P106" s="12">
        <f>IF(C106="","",C106-SUM(K106,M106,O106))</f>
        <v/>
      </c>
      <c r="Q106" s="13">
        <f>IF(A106="","",IF(P106&lt;=0,"eingelöst",IF(AND(I106&lt;&gt;"",TODAY()&gt;I106),"abgelaufen",IF(P106&lt;C106,"teilweise","offen"))))</f>
        <v/>
      </c>
    </row>
    <row r="107">
      <c r="A107" s="7" t="n"/>
      <c r="B107" s="8" t="n"/>
      <c r="C107" s="9" t="n"/>
      <c r="D107" s="10" t="n"/>
      <c r="E107" s="10" t="n"/>
      <c r="F107" s="10" t="n"/>
      <c r="G107" s="10" t="n"/>
      <c r="H107" s="10" t="n"/>
      <c r="I107" s="11">
        <f>IF(B107="","",DATE(YEAR(B107)+3,12,31))</f>
        <v/>
      </c>
      <c r="J107" s="8" t="n"/>
      <c r="K107" s="9" t="n"/>
      <c r="L107" s="8" t="n"/>
      <c r="M107" s="9" t="n"/>
      <c r="N107" s="8" t="n"/>
      <c r="O107" s="9" t="n"/>
      <c r="P107" s="12">
        <f>IF(C107="","",C107-SUM(K107,M107,O107))</f>
        <v/>
      </c>
      <c r="Q107" s="13">
        <f>IF(A107="","",IF(P107&lt;=0,"eingelöst",IF(AND(I107&lt;&gt;"",TODAY()&gt;I107),"abgelaufen",IF(P107&lt;C107,"teilweise","offen"))))</f>
        <v/>
      </c>
    </row>
    <row r="108">
      <c r="A108" s="7" t="n"/>
      <c r="B108" s="8" t="n"/>
      <c r="C108" s="9" t="n"/>
      <c r="D108" s="10" t="n"/>
      <c r="E108" s="10" t="n"/>
      <c r="F108" s="10" t="n"/>
      <c r="G108" s="10" t="n"/>
      <c r="H108" s="10" t="n"/>
      <c r="I108" s="11">
        <f>IF(B108="","",DATE(YEAR(B108)+3,12,31))</f>
        <v/>
      </c>
      <c r="J108" s="8" t="n"/>
      <c r="K108" s="9" t="n"/>
      <c r="L108" s="8" t="n"/>
      <c r="M108" s="9" t="n"/>
      <c r="N108" s="8" t="n"/>
      <c r="O108" s="9" t="n"/>
      <c r="P108" s="12">
        <f>IF(C108="","",C108-SUM(K108,M108,O108))</f>
        <v/>
      </c>
      <c r="Q108" s="13">
        <f>IF(A108="","",IF(P108&lt;=0,"eingelöst",IF(AND(I108&lt;&gt;"",TODAY()&gt;I108),"abgelaufen",IF(P108&lt;C108,"teilweise","offen"))))</f>
        <v/>
      </c>
    </row>
    <row r="109">
      <c r="A109" s="7" t="n"/>
      <c r="B109" s="8" t="n"/>
      <c r="C109" s="9" t="n"/>
      <c r="D109" s="10" t="n"/>
      <c r="E109" s="10" t="n"/>
      <c r="F109" s="10" t="n"/>
      <c r="G109" s="10" t="n"/>
      <c r="H109" s="10" t="n"/>
      <c r="I109" s="11">
        <f>IF(B109="","",DATE(YEAR(B109)+3,12,31))</f>
        <v/>
      </c>
      <c r="J109" s="8" t="n"/>
      <c r="K109" s="9" t="n"/>
      <c r="L109" s="8" t="n"/>
      <c r="M109" s="9" t="n"/>
      <c r="N109" s="8" t="n"/>
      <c r="O109" s="9" t="n"/>
      <c r="P109" s="12">
        <f>IF(C109="","",C109-SUM(K109,M109,O109))</f>
        <v/>
      </c>
      <c r="Q109" s="13">
        <f>IF(A109="","",IF(P109&lt;=0,"eingelöst",IF(AND(I109&lt;&gt;"",TODAY()&gt;I109),"abgelaufen",IF(P109&lt;C109,"teilweise","offen"))))</f>
        <v/>
      </c>
    </row>
    <row r="110">
      <c r="A110" s="7" t="n"/>
      <c r="B110" s="8" t="n"/>
      <c r="C110" s="9" t="n"/>
      <c r="D110" s="10" t="n"/>
      <c r="E110" s="10" t="n"/>
      <c r="F110" s="10" t="n"/>
      <c r="G110" s="10" t="n"/>
      <c r="H110" s="10" t="n"/>
      <c r="I110" s="11">
        <f>IF(B110="","",DATE(YEAR(B110)+3,12,31))</f>
        <v/>
      </c>
      <c r="J110" s="8" t="n"/>
      <c r="K110" s="9" t="n"/>
      <c r="L110" s="8" t="n"/>
      <c r="M110" s="9" t="n"/>
      <c r="N110" s="8" t="n"/>
      <c r="O110" s="9" t="n"/>
      <c r="P110" s="12">
        <f>IF(C110="","",C110-SUM(K110,M110,O110))</f>
        <v/>
      </c>
      <c r="Q110" s="13">
        <f>IF(A110="","",IF(P110&lt;=0,"eingelöst",IF(AND(I110&lt;&gt;"",TODAY()&gt;I110),"abgelaufen",IF(P110&lt;C110,"teilweise","offen"))))</f>
        <v/>
      </c>
    </row>
    <row r="111">
      <c r="A111" s="7" t="n"/>
      <c r="B111" s="8" t="n"/>
      <c r="C111" s="9" t="n"/>
      <c r="D111" s="10" t="n"/>
      <c r="E111" s="10" t="n"/>
      <c r="F111" s="10" t="n"/>
      <c r="G111" s="10" t="n"/>
      <c r="H111" s="10" t="n"/>
      <c r="I111" s="11">
        <f>IF(B111="","",DATE(YEAR(B111)+3,12,31))</f>
        <v/>
      </c>
      <c r="J111" s="8" t="n"/>
      <c r="K111" s="9" t="n"/>
      <c r="L111" s="8" t="n"/>
      <c r="M111" s="9" t="n"/>
      <c r="N111" s="8" t="n"/>
      <c r="O111" s="9" t="n"/>
      <c r="P111" s="12">
        <f>IF(C111="","",C111-SUM(K111,M111,O111))</f>
        <v/>
      </c>
      <c r="Q111" s="13">
        <f>IF(A111="","",IF(P111&lt;=0,"eingelöst",IF(AND(I111&lt;&gt;"",TODAY()&gt;I111),"abgelaufen",IF(P111&lt;C111,"teilweise","offen"))))</f>
        <v/>
      </c>
    </row>
    <row r="112">
      <c r="A112" s="7" t="n"/>
      <c r="B112" s="8" t="n"/>
      <c r="C112" s="9" t="n"/>
      <c r="D112" s="10" t="n"/>
      <c r="E112" s="10" t="n"/>
      <c r="F112" s="10" t="n"/>
      <c r="G112" s="10" t="n"/>
      <c r="H112" s="10" t="n"/>
      <c r="I112" s="11">
        <f>IF(B112="","",DATE(YEAR(B112)+3,12,31))</f>
        <v/>
      </c>
      <c r="J112" s="8" t="n"/>
      <c r="K112" s="9" t="n"/>
      <c r="L112" s="8" t="n"/>
      <c r="M112" s="9" t="n"/>
      <c r="N112" s="8" t="n"/>
      <c r="O112" s="9" t="n"/>
      <c r="P112" s="12">
        <f>IF(C112="","",C112-SUM(K112,M112,O112))</f>
        <v/>
      </c>
      <c r="Q112" s="13">
        <f>IF(A112="","",IF(P112&lt;=0,"eingelöst",IF(AND(I112&lt;&gt;"",TODAY()&gt;I112),"abgelaufen",IF(P112&lt;C112,"teilweise","offen"))))</f>
        <v/>
      </c>
    </row>
    <row r="113">
      <c r="A113" s="7" t="n"/>
      <c r="B113" s="8" t="n"/>
      <c r="C113" s="9" t="n"/>
      <c r="D113" s="10" t="n"/>
      <c r="E113" s="10" t="n"/>
      <c r="F113" s="10" t="n"/>
      <c r="G113" s="10" t="n"/>
      <c r="H113" s="10" t="n"/>
      <c r="I113" s="11">
        <f>IF(B113="","",DATE(YEAR(B113)+3,12,31))</f>
        <v/>
      </c>
      <c r="J113" s="8" t="n"/>
      <c r="K113" s="9" t="n"/>
      <c r="L113" s="8" t="n"/>
      <c r="M113" s="9" t="n"/>
      <c r="N113" s="8" t="n"/>
      <c r="O113" s="9" t="n"/>
      <c r="P113" s="12">
        <f>IF(C113="","",C113-SUM(K113,M113,O113))</f>
        <v/>
      </c>
      <c r="Q113" s="13">
        <f>IF(A113="","",IF(P113&lt;=0,"eingelöst",IF(AND(I113&lt;&gt;"",TODAY()&gt;I113),"abgelaufen",IF(P113&lt;C113,"teilweise","offen"))))</f>
        <v/>
      </c>
    </row>
    <row r="114">
      <c r="A114" s="7" t="n"/>
      <c r="B114" s="8" t="n"/>
      <c r="C114" s="9" t="n"/>
      <c r="D114" s="10" t="n"/>
      <c r="E114" s="10" t="n"/>
      <c r="F114" s="10" t="n"/>
      <c r="G114" s="10" t="n"/>
      <c r="H114" s="10" t="n"/>
      <c r="I114" s="11">
        <f>IF(B114="","",DATE(YEAR(B114)+3,12,31))</f>
        <v/>
      </c>
      <c r="J114" s="8" t="n"/>
      <c r="K114" s="9" t="n"/>
      <c r="L114" s="8" t="n"/>
      <c r="M114" s="9" t="n"/>
      <c r="N114" s="8" t="n"/>
      <c r="O114" s="9" t="n"/>
      <c r="P114" s="12">
        <f>IF(C114="","",C114-SUM(K114,M114,O114))</f>
        <v/>
      </c>
      <c r="Q114" s="13">
        <f>IF(A114="","",IF(P114&lt;=0,"eingelöst",IF(AND(I114&lt;&gt;"",TODAY()&gt;I114),"abgelaufen",IF(P114&lt;C114,"teilweise","offen"))))</f>
        <v/>
      </c>
    </row>
    <row r="115">
      <c r="A115" s="7" t="n"/>
      <c r="B115" s="8" t="n"/>
      <c r="C115" s="9" t="n"/>
      <c r="D115" s="10" t="n"/>
      <c r="E115" s="10" t="n"/>
      <c r="F115" s="10" t="n"/>
      <c r="G115" s="10" t="n"/>
      <c r="H115" s="10" t="n"/>
      <c r="I115" s="11">
        <f>IF(B115="","",DATE(YEAR(B115)+3,12,31))</f>
        <v/>
      </c>
      <c r="J115" s="8" t="n"/>
      <c r="K115" s="9" t="n"/>
      <c r="L115" s="8" t="n"/>
      <c r="M115" s="9" t="n"/>
      <c r="N115" s="8" t="n"/>
      <c r="O115" s="9" t="n"/>
      <c r="P115" s="12">
        <f>IF(C115="","",C115-SUM(K115,M115,O115))</f>
        <v/>
      </c>
      <c r="Q115" s="13">
        <f>IF(A115="","",IF(P115&lt;=0,"eingelöst",IF(AND(I115&lt;&gt;"",TODAY()&gt;I115),"abgelaufen",IF(P115&lt;C115,"teilweise","offen"))))</f>
        <v/>
      </c>
    </row>
    <row r="116">
      <c r="A116" s="7" t="n"/>
      <c r="B116" s="8" t="n"/>
      <c r="C116" s="9" t="n"/>
      <c r="D116" s="10" t="n"/>
      <c r="E116" s="10" t="n"/>
      <c r="F116" s="10" t="n"/>
      <c r="G116" s="10" t="n"/>
      <c r="H116" s="10" t="n"/>
      <c r="I116" s="11">
        <f>IF(B116="","",DATE(YEAR(B116)+3,12,31))</f>
        <v/>
      </c>
      <c r="J116" s="8" t="n"/>
      <c r="K116" s="9" t="n"/>
      <c r="L116" s="8" t="n"/>
      <c r="M116" s="9" t="n"/>
      <c r="N116" s="8" t="n"/>
      <c r="O116" s="9" t="n"/>
      <c r="P116" s="12">
        <f>IF(C116="","",C116-SUM(K116,M116,O116))</f>
        <v/>
      </c>
      <c r="Q116" s="13">
        <f>IF(A116="","",IF(P116&lt;=0,"eingelöst",IF(AND(I116&lt;&gt;"",TODAY()&gt;I116),"abgelaufen",IF(P116&lt;C116,"teilweise","offen"))))</f>
        <v/>
      </c>
    </row>
    <row r="117">
      <c r="A117" s="7" t="n"/>
      <c r="B117" s="8" t="n"/>
      <c r="C117" s="9" t="n"/>
      <c r="D117" s="10" t="n"/>
      <c r="E117" s="10" t="n"/>
      <c r="F117" s="10" t="n"/>
      <c r="G117" s="10" t="n"/>
      <c r="H117" s="10" t="n"/>
      <c r="I117" s="11">
        <f>IF(B117="","",DATE(YEAR(B117)+3,12,31))</f>
        <v/>
      </c>
      <c r="J117" s="8" t="n"/>
      <c r="K117" s="9" t="n"/>
      <c r="L117" s="8" t="n"/>
      <c r="M117" s="9" t="n"/>
      <c r="N117" s="8" t="n"/>
      <c r="O117" s="9" t="n"/>
      <c r="P117" s="12">
        <f>IF(C117="","",C117-SUM(K117,M117,O117))</f>
        <v/>
      </c>
      <c r="Q117" s="13">
        <f>IF(A117="","",IF(P117&lt;=0,"eingelöst",IF(AND(I117&lt;&gt;"",TODAY()&gt;I117),"abgelaufen",IF(P117&lt;C117,"teilweise","offen"))))</f>
        <v/>
      </c>
    </row>
    <row r="118">
      <c r="A118" s="7" t="n"/>
      <c r="B118" s="8" t="n"/>
      <c r="C118" s="9" t="n"/>
      <c r="D118" s="10" t="n"/>
      <c r="E118" s="10" t="n"/>
      <c r="F118" s="10" t="n"/>
      <c r="G118" s="10" t="n"/>
      <c r="H118" s="10" t="n"/>
      <c r="I118" s="11">
        <f>IF(B118="","",DATE(YEAR(B118)+3,12,31))</f>
        <v/>
      </c>
      <c r="J118" s="8" t="n"/>
      <c r="K118" s="9" t="n"/>
      <c r="L118" s="8" t="n"/>
      <c r="M118" s="9" t="n"/>
      <c r="N118" s="8" t="n"/>
      <c r="O118" s="9" t="n"/>
      <c r="P118" s="12">
        <f>IF(C118="","",C118-SUM(K118,M118,O118))</f>
        <v/>
      </c>
      <c r="Q118" s="13">
        <f>IF(A118="","",IF(P118&lt;=0,"eingelöst",IF(AND(I118&lt;&gt;"",TODAY()&gt;I118),"abgelaufen",IF(P118&lt;C118,"teilweise","offen"))))</f>
        <v/>
      </c>
    </row>
    <row r="119">
      <c r="A119" s="7" t="n"/>
      <c r="B119" s="8" t="n"/>
      <c r="C119" s="9" t="n"/>
      <c r="D119" s="10" t="n"/>
      <c r="E119" s="10" t="n"/>
      <c r="F119" s="10" t="n"/>
      <c r="G119" s="10" t="n"/>
      <c r="H119" s="10" t="n"/>
      <c r="I119" s="11">
        <f>IF(B119="","",DATE(YEAR(B119)+3,12,31))</f>
        <v/>
      </c>
      <c r="J119" s="8" t="n"/>
      <c r="K119" s="9" t="n"/>
      <c r="L119" s="8" t="n"/>
      <c r="M119" s="9" t="n"/>
      <c r="N119" s="8" t="n"/>
      <c r="O119" s="9" t="n"/>
      <c r="P119" s="12">
        <f>IF(C119="","",C119-SUM(K119,M119,O119))</f>
        <v/>
      </c>
      <c r="Q119" s="13">
        <f>IF(A119="","",IF(P119&lt;=0,"eingelöst",IF(AND(I119&lt;&gt;"",TODAY()&gt;I119),"abgelaufen",IF(P119&lt;C119,"teilweise","offen"))))</f>
        <v/>
      </c>
    </row>
    <row r="120">
      <c r="A120" s="7" t="n"/>
      <c r="B120" s="8" t="n"/>
      <c r="C120" s="9" t="n"/>
      <c r="D120" s="10" t="n"/>
      <c r="E120" s="10" t="n"/>
      <c r="F120" s="10" t="n"/>
      <c r="G120" s="10" t="n"/>
      <c r="H120" s="10" t="n"/>
      <c r="I120" s="11">
        <f>IF(B120="","",DATE(YEAR(B120)+3,12,31))</f>
        <v/>
      </c>
      <c r="J120" s="8" t="n"/>
      <c r="K120" s="9" t="n"/>
      <c r="L120" s="8" t="n"/>
      <c r="M120" s="9" t="n"/>
      <c r="N120" s="8" t="n"/>
      <c r="O120" s="9" t="n"/>
      <c r="P120" s="12">
        <f>IF(C120="","",C120-SUM(K120,M120,O120))</f>
        <v/>
      </c>
      <c r="Q120" s="13">
        <f>IF(A120="","",IF(P120&lt;=0,"eingelöst",IF(AND(I120&lt;&gt;"",TODAY()&gt;I120),"abgelaufen",IF(P120&lt;C120,"teilweise","offen"))))</f>
        <v/>
      </c>
    </row>
    <row r="121">
      <c r="A121" s="7" t="n"/>
      <c r="B121" s="8" t="n"/>
      <c r="C121" s="9" t="n"/>
      <c r="D121" s="10" t="n"/>
      <c r="E121" s="10" t="n"/>
      <c r="F121" s="10" t="n"/>
      <c r="G121" s="10" t="n"/>
      <c r="H121" s="10" t="n"/>
      <c r="I121" s="11">
        <f>IF(B121="","",DATE(YEAR(B121)+3,12,31))</f>
        <v/>
      </c>
      <c r="J121" s="8" t="n"/>
      <c r="K121" s="9" t="n"/>
      <c r="L121" s="8" t="n"/>
      <c r="M121" s="9" t="n"/>
      <c r="N121" s="8" t="n"/>
      <c r="O121" s="9" t="n"/>
      <c r="P121" s="12">
        <f>IF(C121="","",C121-SUM(K121,M121,O121))</f>
        <v/>
      </c>
      <c r="Q121" s="13">
        <f>IF(A121="","",IF(P121&lt;=0,"eingelöst",IF(AND(I121&lt;&gt;"",TODAY()&gt;I121),"abgelaufen",IF(P121&lt;C121,"teilweise","offen"))))</f>
        <v/>
      </c>
    </row>
    <row r="122">
      <c r="A122" s="7" t="n"/>
      <c r="B122" s="8" t="n"/>
      <c r="C122" s="9" t="n"/>
      <c r="D122" s="10" t="n"/>
      <c r="E122" s="10" t="n"/>
      <c r="F122" s="10" t="n"/>
      <c r="G122" s="10" t="n"/>
      <c r="H122" s="10" t="n"/>
      <c r="I122" s="11">
        <f>IF(B122="","",DATE(YEAR(B122)+3,12,31))</f>
        <v/>
      </c>
      <c r="J122" s="8" t="n"/>
      <c r="K122" s="9" t="n"/>
      <c r="L122" s="8" t="n"/>
      <c r="M122" s="9" t="n"/>
      <c r="N122" s="8" t="n"/>
      <c r="O122" s="9" t="n"/>
      <c r="P122" s="12">
        <f>IF(C122="","",C122-SUM(K122,M122,O122))</f>
        <v/>
      </c>
      <c r="Q122" s="13">
        <f>IF(A122="","",IF(P122&lt;=0,"eingelöst",IF(AND(I122&lt;&gt;"",TODAY()&gt;I122),"abgelaufen",IF(P122&lt;C122,"teilweise","offen"))))</f>
        <v/>
      </c>
    </row>
    <row r="123">
      <c r="A123" s="7" t="n"/>
      <c r="B123" s="8" t="n"/>
      <c r="C123" s="9" t="n"/>
      <c r="D123" s="10" t="n"/>
      <c r="E123" s="10" t="n"/>
      <c r="F123" s="10" t="n"/>
      <c r="G123" s="10" t="n"/>
      <c r="H123" s="10" t="n"/>
      <c r="I123" s="11">
        <f>IF(B123="","",DATE(YEAR(B123)+3,12,31))</f>
        <v/>
      </c>
      <c r="J123" s="8" t="n"/>
      <c r="K123" s="9" t="n"/>
      <c r="L123" s="8" t="n"/>
      <c r="M123" s="9" t="n"/>
      <c r="N123" s="8" t="n"/>
      <c r="O123" s="9" t="n"/>
      <c r="P123" s="12">
        <f>IF(C123="","",C123-SUM(K123,M123,O123))</f>
        <v/>
      </c>
      <c r="Q123" s="13">
        <f>IF(A123="","",IF(P123&lt;=0,"eingelöst",IF(AND(I123&lt;&gt;"",TODAY()&gt;I123),"abgelaufen",IF(P123&lt;C123,"teilweise","offen"))))</f>
        <v/>
      </c>
    </row>
    <row r="124">
      <c r="A124" s="7" t="n"/>
      <c r="B124" s="8" t="n"/>
      <c r="C124" s="9" t="n"/>
      <c r="D124" s="10" t="n"/>
      <c r="E124" s="10" t="n"/>
      <c r="F124" s="10" t="n"/>
      <c r="G124" s="10" t="n"/>
      <c r="H124" s="10" t="n"/>
      <c r="I124" s="11">
        <f>IF(B124="","",DATE(YEAR(B124)+3,12,31))</f>
        <v/>
      </c>
      <c r="J124" s="8" t="n"/>
      <c r="K124" s="9" t="n"/>
      <c r="L124" s="8" t="n"/>
      <c r="M124" s="9" t="n"/>
      <c r="N124" s="8" t="n"/>
      <c r="O124" s="9" t="n"/>
      <c r="P124" s="12">
        <f>IF(C124="","",C124-SUM(K124,M124,O124))</f>
        <v/>
      </c>
      <c r="Q124" s="13">
        <f>IF(A124="","",IF(P124&lt;=0,"eingelöst",IF(AND(I124&lt;&gt;"",TODAY()&gt;I124),"abgelaufen",IF(P124&lt;C124,"teilweise","offen"))))</f>
        <v/>
      </c>
    </row>
    <row r="125">
      <c r="A125" s="7" t="n"/>
      <c r="B125" s="8" t="n"/>
      <c r="C125" s="9" t="n"/>
      <c r="D125" s="10" t="n"/>
      <c r="E125" s="10" t="n"/>
      <c r="F125" s="10" t="n"/>
      <c r="G125" s="10" t="n"/>
      <c r="H125" s="10" t="n"/>
      <c r="I125" s="11">
        <f>IF(B125="","",DATE(YEAR(B125)+3,12,31))</f>
        <v/>
      </c>
      <c r="J125" s="8" t="n"/>
      <c r="K125" s="9" t="n"/>
      <c r="L125" s="8" t="n"/>
      <c r="M125" s="9" t="n"/>
      <c r="N125" s="8" t="n"/>
      <c r="O125" s="9" t="n"/>
      <c r="P125" s="12">
        <f>IF(C125="","",C125-SUM(K125,M125,O125))</f>
        <v/>
      </c>
      <c r="Q125" s="13">
        <f>IF(A125="","",IF(P125&lt;=0,"eingelöst",IF(AND(I125&lt;&gt;"",TODAY()&gt;I125),"abgelaufen",IF(P125&lt;C125,"teilweise","offen"))))</f>
        <v/>
      </c>
    </row>
    <row r="126">
      <c r="A126" s="7" t="n"/>
      <c r="B126" s="8" t="n"/>
      <c r="C126" s="9" t="n"/>
      <c r="D126" s="10" t="n"/>
      <c r="E126" s="10" t="n"/>
      <c r="F126" s="10" t="n"/>
      <c r="G126" s="10" t="n"/>
      <c r="H126" s="10" t="n"/>
      <c r="I126" s="11">
        <f>IF(B126="","",DATE(YEAR(B126)+3,12,31))</f>
        <v/>
      </c>
      <c r="J126" s="8" t="n"/>
      <c r="K126" s="9" t="n"/>
      <c r="L126" s="8" t="n"/>
      <c r="M126" s="9" t="n"/>
      <c r="N126" s="8" t="n"/>
      <c r="O126" s="9" t="n"/>
      <c r="P126" s="12">
        <f>IF(C126="","",C126-SUM(K126,M126,O126))</f>
        <v/>
      </c>
      <c r="Q126" s="13">
        <f>IF(A126="","",IF(P126&lt;=0,"eingelöst",IF(AND(I126&lt;&gt;"",TODAY()&gt;I126),"abgelaufen",IF(P126&lt;C126,"teilweise","offen"))))</f>
        <v/>
      </c>
    </row>
    <row r="127">
      <c r="A127" s="7" t="n"/>
      <c r="B127" s="8" t="n"/>
      <c r="C127" s="9" t="n"/>
      <c r="D127" s="10" t="n"/>
      <c r="E127" s="10" t="n"/>
      <c r="F127" s="10" t="n"/>
      <c r="G127" s="10" t="n"/>
      <c r="H127" s="10" t="n"/>
      <c r="I127" s="11">
        <f>IF(B127="","",DATE(YEAR(B127)+3,12,31))</f>
        <v/>
      </c>
      <c r="J127" s="8" t="n"/>
      <c r="K127" s="9" t="n"/>
      <c r="L127" s="8" t="n"/>
      <c r="M127" s="9" t="n"/>
      <c r="N127" s="8" t="n"/>
      <c r="O127" s="9" t="n"/>
      <c r="P127" s="12">
        <f>IF(C127="","",C127-SUM(K127,M127,O127))</f>
        <v/>
      </c>
      <c r="Q127" s="13">
        <f>IF(A127="","",IF(P127&lt;=0,"eingelöst",IF(AND(I127&lt;&gt;"",TODAY()&gt;I127),"abgelaufen",IF(P127&lt;C127,"teilweise","offen"))))</f>
        <v/>
      </c>
    </row>
    <row r="128">
      <c r="A128" s="7" t="n"/>
      <c r="B128" s="8" t="n"/>
      <c r="C128" s="9" t="n"/>
      <c r="D128" s="10" t="n"/>
      <c r="E128" s="10" t="n"/>
      <c r="F128" s="10" t="n"/>
      <c r="G128" s="10" t="n"/>
      <c r="H128" s="10" t="n"/>
      <c r="I128" s="11">
        <f>IF(B128="","",DATE(YEAR(B128)+3,12,31))</f>
        <v/>
      </c>
      <c r="J128" s="8" t="n"/>
      <c r="K128" s="9" t="n"/>
      <c r="L128" s="8" t="n"/>
      <c r="M128" s="9" t="n"/>
      <c r="N128" s="8" t="n"/>
      <c r="O128" s="9" t="n"/>
      <c r="P128" s="12">
        <f>IF(C128="","",C128-SUM(K128,M128,O128))</f>
        <v/>
      </c>
      <c r="Q128" s="13">
        <f>IF(A128="","",IF(P128&lt;=0,"eingelöst",IF(AND(I128&lt;&gt;"",TODAY()&gt;I128),"abgelaufen",IF(P128&lt;C128,"teilweise","offen"))))</f>
        <v/>
      </c>
    </row>
    <row r="129">
      <c r="A129" s="7" t="n"/>
      <c r="B129" s="8" t="n"/>
      <c r="C129" s="9" t="n"/>
      <c r="D129" s="10" t="n"/>
      <c r="E129" s="10" t="n"/>
      <c r="F129" s="10" t="n"/>
      <c r="G129" s="10" t="n"/>
      <c r="H129" s="10" t="n"/>
      <c r="I129" s="11">
        <f>IF(B129="","",DATE(YEAR(B129)+3,12,31))</f>
        <v/>
      </c>
      <c r="J129" s="8" t="n"/>
      <c r="K129" s="9" t="n"/>
      <c r="L129" s="8" t="n"/>
      <c r="M129" s="9" t="n"/>
      <c r="N129" s="8" t="n"/>
      <c r="O129" s="9" t="n"/>
      <c r="P129" s="12">
        <f>IF(C129="","",C129-SUM(K129,M129,O129))</f>
        <v/>
      </c>
      <c r="Q129" s="13">
        <f>IF(A129="","",IF(P129&lt;=0,"eingelöst",IF(AND(I129&lt;&gt;"",TODAY()&gt;I129),"abgelaufen",IF(P129&lt;C129,"teilweise","offen"))))</f>
        <v/>
      </c>
    </row>
    <row r="130">
      <c r="A130" s="7" t="n"/>
      <c r="B130" s="8" t="n"/>
      <c r="C130" s="9" t="n"/>
      <c r="D130" s="10" t="n"/>
      <c r="E130" s="10" t="n"/>
      <c r="F130" s="10" t="n"/>
      <c r="G130" s="10" t="n"/>
      <c r="H130" s="10" t="n"/>
      <c r="I130" s="11">
        <f>IF(B130="","",DATE(YEAR(B130)+3,12,31))</f>
        <v/>
      </c>
      <c r="J130" s="8" t="n"/>
      <c r="K130" s="9" t="n"/>
      <c r="L130" s="8" t="n"/>
      <c r="M130" s="9" t="n"/>
      <c r="N130" s="8" t="n"/>
      <c r="O130" s="9" t="n"/>
      <c r="P130" s="12">
        <f>IF(C130="","",C130-SUM(K130,M130,O130))</f>
        <v/>
      </c>
      <c r="Q130" s="13">
        <f>IF(A130="","",IF(P130&lt;=0,"eingelöst",IF(AND(I130&lt;&gt;"",TODAY()&gt;I130),"abgelaufen",IF(P130&lt;C130,"teilweise","offen"))))</f>
        <v/>
      </c>
    </row>
    <row r="131">
      <c r="A131" s="7" t="n"/>
      <c r="B131" s="8" t="n"/>
      <c r="C131" s="9" t="n"/>
      <c r="D131" s="10" t="n"/>
      <c r="E131" s="10" t="n"/>
      <c r="F131" s="10" t="n"/>
      <c r="G131" s="10" t="n"/>
      <c r="H131" s="10" t="n"/>
      <c r="I131" s="11">
        <f>IF(B131="","",DATE(YEAR(B131)+3,12,31))</f>
        <v/>
      </c>
      <c r="J131" s="8" t="n"/>
      <c r="K131" s="9" t="n"/>
      <c r="L131" s="8" t="n"/>
      <c r="M131" s="9" t="n"/>
      <c r="N131" s="8" t="n"/>
      <c r="O131" s="9" t="n"/>
      <c r="P131" s="12">
        <f>IF(C131="","",C131-SUM(K131,M131,O131))</f>
        <v/>
      </c>
      <c r="Q131" s="13">
        <f>IF(A131="","",IF(P131&lt;=0,"eingelöst",IF(AND(I131&lt;&gt;"",TODAY()&gt;I131),"abgelaufen",IF(P131&lt;C131,"teilweise","offen"))))</f>
        <v/>
      </c>
    </row>
    <row r="132">
      <c r="A132" s="7" t="n"/>
      <c r="B132" s="8" t="n"/>
      <c r="C132" s="9" t="n"/>
      <c r="D132" s="10" t="n"/>
      <c r="E132" s="10" t="n"/>
      <c r="F132" s="10" t="n"/>
      <c r="G132" s="10" t="n"/>
      <c r="H132" s="10" t="n"/>
      <c r="I132" s="11">
        <f>IF(B132="","",DATE(YEAR(B132)+3,12,31))</f>
        <v/>
      </c>
      <c r="J132" s="8" t="n"/>
      <c r="K132" s="9" t="n"/>
      <c r="L132" s="8" t="n"/>
      <c r="M132" s="9" t="n"/>
      <c r="N132" s="8" t="n"/>
      <c r="O132" s="9" t="n"/>
      <c r="P132" s="12">
        <f>IF(C132="","",C132-SUM(K132,M132,O132))</f>
        <v/>
      </c>
      <c r="Q132" s="13">
        <f>IF(A132="","",IF(P132&lt;=0,"eingelöst",IF(AND(I132&lt;&gt;"",TODAY()&gt;I132),"abgelaufen",IF(P132&lt;C132,"teilweise","offen"))))</f>
        <v/>
      </c>
    </row>
    <row r="133">
      <c r="A133" s="7" t="n"/>
      <c r="B133" s="8" t="n"/>
      <c r="C133" s="9" t="n"/>
      <c r="D133" s="10" t="n"/>
      <c r="E133" s="10" t="n"/>
      <c r="F133" s="10" t="n"/>
      <c r="G133" s="10" t="n"/>
      <c r="H133" s="10" t="n"/>
      <c r="I133" s="11">
        <f>IF(B133="","",DATE(YEAR(B133)+3,12,31))</f>
        <v/>
      </c>
      <c r="J133" s="8" t="n"/>
      <c r="K133" s="9" t="n"/>
      <c r="L133" s="8" t="n"/>
      <c r="M133" s="9" t="n"/>
      <c r="N133" s="8" t="n"/>
      <c r="O133" s="9" t="n"/>
      <c r="P133" s="12">
        <f>IF(C133="","",C133-SUM(K133,M133,O133))</f>
        <v/>
      </c>
      <c r="Q133" s="13">
        <f>IF(A133="","",IF(P133&lt;=0,"eingelöst",IF(AND(I133&lt;&gt;"",TODAY()&gt;I133),"abgelaufen",IF(P133&lt;C133,"teilweise","offen"))))</f>
        <v/>
      </c>
    </row>
    <row r="134">
      <c r="A134" s="7" t="n"/>
      <c r="B134" s="8" t="n"/>
      <c r="C134" s="9" t="n"/>
      <c r="D134" s="10" t="n"/>
      <c r="E134" s="10" t="n"/>
      <c r="F134" s="10" t="n"/>
      <c r="G134" s="10" t="n"/>
      <c r="H134" s="10" t="n"/>
      <c r="I134" s="11">
        <f>IF(B134="","",DATE(YEAR(B134)+3,12,31))</f>
        <v/>
      </c>
      <c r="J134" s="8" t="n"/>
      <c r="K134" s="9" t="n"/>
      <c r="L134" s="8" t="n"/>
      <c r="M134" s="9" t="n"/>
      <c r="N134" s="8" t="n"/>
      <c r="O134" s="9" t="n"/>
      <c r="P134" s="12">
        <f>IF(C134="","",C134-SUM(K134,M134,O134))</f>
        <v/>
      </c>
      <c r="Q134" s="13">
        <f>IF(A134="","",IF(P134&lt;=0,"eingelöst",IF(AND(I134&lt;&gt;"",TODAY()&gt;I134),"abgelaufen",IF(P134&lt;C134,"teilweise","offen"))))</f>
        <v/>
      </c>
    </row>
    <row r="135">
      <c r="A135" s="7" t="n"/>
      <c r="B135" s="8" t="n"/>
      <c r="C135" s="9" t="n"/>
      <c r="D135" s="10" t="n"/>
      <c r="E135" s="10" t="n"/>
      <c r="F135" s="10" t="n"/>
      <c r="G135" s="10" t="n"/>
      <c r="H135" s="10" t="n"/>
      <c r="I135" s="11">
        <f>IF(B135="","",DATE(YEAR(B135)+3,12,31))</f>
        <v/>
      </c>
      <c r="J135" s="8" t="n"/>
      <c r="K135" s="9" t="n"/>
      <c r="L135" s="8" t="n"/>
      <c r="M135" s="9" t="n"/>
      <c r="N135" s="8" t="n"/>
      <c r="O135" s="9" t="n"/>
      <c r="P135" s="12">
        <f>IF(C135="","",C135-SUM(K135,M135,O135))</f>
        <v/>
      </c>
      <c r="Q135" s="13">
        <f>IF(A135="","",IF(P135&lt;=0,"eingelöst",IF(AND(I135&lt;&gt;"",TODAY()&gt;I135),"abgelaufen",IF(P135&lt;C135,"teilweise","offen"))))</f>
        <v/>
      </c>
    </row>
    <row r="136">
      <c r="A136" s="7" t="n"/>
      <c r="B136" s="8" t="n"/>
      <c r="C136" s="9" t="n"/>
      <c r="D136" s="10" t="n"/>
      <c r="E136" s="10" t="n"/>
      <c r="F136" s="10" t="n"/>
      <c r="G136" s="10" t="n"/>
      <c r="H136" s="10" t="n"/>
      <c r="I136" s="11">
        <f>IF(B136="","",DATE(YEAR(B136)+3,12,31))</f>
        <v/>
      </c>
      <c r="J136" s="8" t="n"/>
      <c r="K136" s="9" t="n"/>
      <c r="L136" s="8" t="n"/>
      <c r="M136" s="9" t="n"/>
      <c r="N136" s="8" t="n"/>
      <c r="O136" s="9" t="n"/>
      <c r="P136" s="12">
        <f>IF(C136="","",C136-SUM(K136,M136,O136))</f>
        <v/>
      </c>
      <c r="Q136" s="13">
        <f>IF(A136="","",IF(P136&lt;=0,"eingelöst",IF(AND(I136&lt;&gt;"",TODAY()&gt;I136),"abgelaufen",IF(P136&lt;C136,"teilweise","offen"))))</f>
        <v/>
      </c>
    </row>
    <row r="137">
      <c r="A137" s="7" t="n"/>
      <c r="B137" s="8" t="n"/>
      <c r="C137" s="9" t="n"/>
      <c r="D137" s="10" t="n"/>
      <c r="E137" s="10" t="n"/>
      <c r="F137" s="10" t="n"/>
      <c r="G137" s="10" t="n"/>
      <c r="H137" s="10" t="n"/>
      <c r="I137" s="11">
        <f>IF(B137="","",DATE(YEAR(B137)+3,12,31))</f>
        <v/>
      </c>
      <c r="J137" s="8" t="n"/>
      <c r="K137" s="9" t="n"/>
      <c r="L137" s="8" t="n"/>
      <c r="M137" s="9" t="n"/>
      <c r="N137" s="8" t="n"/>
      <c r="O137" s="9" t="n"/>
      <c r="P137" s="12">
        <f>IF(C137="","",C137-SUM(K137,M137,O137))</f>
        <v/>
      </c>
      <c r="Q137" s="13">
        <f>IF(A137="","",IF(P137&lt;=0,"eingelöst",IF(AND(I137&lt;&gt;"",TODAY()&gt;I137),"abgelaufen",IF(P137&lt;C137,"teilweise","offen"))))</f>
        <v/>
      </c>
    </row>
    <row r="138">
      <c r="A138" s="7" t="n"/>
      <c r="B138" s="8" t="n"/>
      <c r="C138" s="9" t="n"/>
      <c r="D138" s="10" t="n"/>
      <c r="E138" s="10" t="n"/>
      <c r="F138" s="10" t="n"/>
      <c r="G138" s="10" t="n"/>
      <c r="H138" s="10" t="n"/>
      <c r="I138" s="11">
        <f>IF(B138="","",DATE(YEAR(B138)+3,12,31))</f>
        <v/>
      </c>
      <c r="J138" s="8" t="n"/>
      <c r="K138" s="9" t="n"/>
      <c r="L138" s="8" t="n"/>
      <c r="M138" s="9" t="n"/>
      <c r="N138" s="8" t="n"/>
      <c r="O138" s="9" t="n"/>
      <c r="P138" s="12">
        <f>IF(C138="","",C138-SUM(K138,M138,O138))</f>
        <v/>
      </c>
      <c r="Q138" s="13">
        <f>IF(A138="","",IF(P138&lt;=0,"eingelöst",IF(AND(I138&lt;&gt;"",TODAY()&gt;I138),"abgelaufen",IF(P138&lt;C138,"teilweise","offen"))))</f>
        <v/>
      </c>
    </row>
    <row r="139">
      <c r="A139" s="7" t="n"/>
      <c r="B139" s="8" t="n"/>
      <c r="C139" s="9" t="n"/>
      <c r="D139" s="10" t="n"/>
      <c r="E139" s="10" t="n"/>
      <c r="F139" s="10" t="n"/>
      <c r="G139" s="10" t="n"/>
      <c r="H139" s="10" t="n"/>
      <c r="I139" s="11">
        <f>IF(B139="","",DATE(YEAR(B139)+3,12,31))</f>
        <v/>
      </c>
      <c r="J139" s="8" t="n"/>
      <c r="K139" s="9" t="n"/>
      <c r="L139" s="8" t="n"/>
      <c r="M139" s="9" t="n"/>
      <c r="N139" s="8" t="n"/>
      <c r="O139" s="9" t="n"/>
      <c r="P139" s="12">
        <f>IF(C139="","",C139-SUM(K139,M139,O139))</f>
        <v/>
      </c>
      <c r="Q139" s="13">
        <f>IF(A139="","",IF(P139&lt;=0,"eingelöst",IF(AND(I139&lt;&gt;"",TODAY()&gt;I139),"abgelaufen",IF(P139&lt;C139,"teilweise","offen"))))</f>
        <v/>
      </c>
    </row>
    <row r="140">
      <c r="A140" s="7" t="n"/>
      <c r="B140" s="8" t="n"/>
      <c r="C140" s="9" t="n"/>
      <c r="D140" s="10" t="n"/>
      <c r="E140" s="10" t="n"/>
      <c r="F140" s="10" t="n"/>
      <c r="G140" s="10" t="n"/>
      <c r="H140" s="10" t="n"/>
      <c r="I140" s="11">
        <f>IF(B140="","",DATE(YEAR(B140)+3,12,31))</f>
        <v/>
      </c>
      <c r="J140" s="8" t="n"/>
      <c r="K140" s="9" t="n"/>
      <c r="L140" s="8" t="n"/>
      <c r="M140" s="9" t="n"/>
      <c r="N140" s="8" t="n"/>
      <c r="O140" s="9" t="n"/>
      <c r="P140" s="12">
        <f>IF(C140="","",C140-SUM(K140,M140,O140))</f>
        <v/>
      </c>
      <c r="Q140" s="13">
        <f>IF(A140="","",IF(P140&lt;=0,"eingelöst",IF(AND(I140&lt;&gt;"",TODAY()&gt;I140),"abgelaufen",IF(P140&lt;C140,"teilweise","offen"))))</f>
        <v/>
      </c>
    </row>
    <row r="141">
      <c r="A141" s="7" t="n"/>
      <c r="B141" s="8" t="n"/>
      <c r="C141" s="9" t="n"/>
      <c r="D141" s="10" t="n"/>
      <c r="E141" s="10" t="n"/>
      <c r="F141" s="10" t="n"/>
      <c r="G141" s="10" t="n"/>
      <c r="H141" s="10" t="n"/>
      <c r="I141" s="11">
        <f>IF(B141="","",DATE(YEAR(B141)+3,12,31))</f>
        <v/>
      </c>
      <c r="J141" s="8" t="n"/>
      <c r="K141" s="9" t="n"/>
      <c r="L141" s="8" t="n"/>
      <c r="M141" s="9" t="n"/>
      <c r="N141" s="8" t="n"/>
      <c r="O141" s="9" t="n"/>
      <c r="P141" s="12">
        <f>IF(C141="","",C141-SUM(K141,M141,O141))</f>
        <v/>
      </c>
      <c r="Q141" s="13">
        <f>IF(A141="","",IF(P141&lt;=0,"eingelöst",IF(AND(I141&lt;&gt;"",TODAY()&gt;I141),"abgelaufen",IF(P141&lt;C141,"teilweise","offen"))))</f>
        <v/>
      </c>
    </row>
    <row r="142">
      <c r="A142" s="7" t="n"/>
      <c r="B142" s="8" t="n"/>
      <c r="C142" s="9" t="n"/>
      <c r="D142" s="10" t="n"/>
      <c r="E142" s="10" t="n"/>
      <c r="F142" s="10" t="n"/>
      <c r="G142" s="10" t="n"/>
      <c r="H142" s="10" t="n"/>
      <c r="I142" s="11">
        <f>IF(B142="","",DATE(YEAR(B142)+3,12,31))</f>
        <v/>
      </c>
      <c r="J142" s="8" t="n"/>
      <c r="K142" s="9" t="n"/>
      <c r="L142" s="8" t="n"/>
      <c r="M142" s="9" t="n"/>
      <c r="N142" s="8" t="n"/>
      <c r="O142" s="9" t="n"/>
      <c r="P142" s="12">
        <f>IF(C142="","",C142-SUM(K142,M142,O142))</f>
        <v/>
      </c>
      <c r="Q142" s="13">
        <f>IF(A142="","",IF(P142&lt;=0,"eingelöst",IF(AND(I142&lt;&gt;"",TODAY()&gt;I142),"abgelaufen",IF(P142&lt;C142,"teilweise","offen"))))</f>
        <v/>
      </c>
    </row>
    <row r="143">
      <c r="A143" s="7" t="n"/>
      <c r="B143" s="8" t="n"/>
      <c r="C143" s="9" t="n"/>
      <c r="D143" s="10" t="n"/>
      <c r="E143" s="10" t="n"/>
      <c r="F143" s="10" t="n"/>
      <c r="G143" s="10" t="n"/>
      <c r="H143" s="10" t="n"/>
      <c r="I143" s="11">
        <f>IF(B143="","",DATE(YEAR(B143)+3,12,31))</f>
        <v/>
      </c>
      <c r="J143" s="8" t="n"/>
      <c r="K143" s="9" t="n"/>
      <c r="L143" s="8" t="n"/>
      <c r="M143" s="9" t="n"/>
      <c r="N143" s="8" t="n"/>
      <c r="O143" s="9" t="n"/>
      <c r="P143" s="12">
        <f>IF(C143="","",C143-SUM(K143,M143,O143))</f>
        <v/>
      </c>
      <c r="Q143" s="13">
        <f>IF(A143="","",IF(P143&lt;=0,"eingelöst",IF(AND(I143&lt;&gt;"",TODAY()&gt;I143),"abgelaufen",IF(P143&lt;C143,"teilweise","offen"))))</f>
        <v/>
      </c>
    </row>
    <row r="144">
      <c r="A144" s="7" t="n"/>
      <c r="B144" s="8" t="n"/>
      <c r="C144" s="9" t="n"/>
      <c r="D144" s="10" t="n"/>
      <c r="E144" s="10" t="n"/>
      <c r="F144" s="10" t="n"/>
      <c r="G144" s="10" t="n"/>
      <c r="H144" s="10" t="n"/>
      <c r="I144" s="11">
        <f>IF(B144="","",DATE(YEAR(B144)+3,12,31))</f>
        <v/>
      </c>
      <c r="J144" s="8" t="n"/>
      <c r="K144" s="9" t="n"/>
      <c r="L144" s="8" t="n"/>
      <c r="M144" s="9" t="n"/>
      <c r="N144" s="8" t="n"/>
      <c r="O144" s="9" t="n"/>
      <c r="P144" s="12">
        <f>IF(C144="","",C144-SUM(K144,M144,O144))</f>
        <v/>
      </c>
      <c r="Q144" s="13">
        <f>IF(A144="","",IF(P144&lt;=0,"eingelöst",IF(AND(I144&lt;&gt;"",TODAY()&gt;I144),"abgelaufen",IF(P144&lt;C144,"teilweise","offen"))))</f>
        <v/>
      </c>
    </row>
    <row r="145">
      <c r="A145" s="7" t="n"/>
      <c r="B145" s="8" t="n"/>
      <c r="C145" s="9" t="n"/>
      <c r="D145" s="10" t="n"/>
      <c r="E145" s="10" t="n"/>
      <c r="F145" s="10" t="n"/>
      <c r="G145" s="10" t="n"/>
      <c r="H145" s="10" t="n"/>
      <c r="I145" s="11">
        <f>IF(B145="","",DATE(YEAR(B145)+3,12,31))</f>
        <v/>
      </c>
      <c r="J145" s="8" t="n"/>
      <c r="K145" s="9" t="n"/>
      <c r="L145" s="8" t="n"/>
      <c r="M145" s="9" t="n"/>
      <c r="N145" s="8" t="n"/>
      <c r="O145" s="9" t="n"/>
      <c r="P145" s="12">
        <f>IF(C145="","",C145-SUM(K145,M145,O145))</f>
        <v/>
      </c>
      <c r="Q145" s="13">
        <f>IF(A145="","",IF(P145&lt;=0,"eingelöst",IF(AND(I145&lt;&gt;"",TODAY()&gt;I145),"abgelaufen",IF(P145&lt;C145,"teilweise","offen"))))</f>
        <v/>
      </c>
    </row>
    <row r="146">
      <c r="A146" s="7" t="n"/>
      <c r="B146" s="8" t="n"/>
      <c r="C146" s="9" t="n"/>
      <c r="D146" s="10" t="n"/>
      <c r="E146" s="10" t="n"/>
      <c r="F146" s="10" t="n"/>
      <c r="G146" s="10" t="n"/>
      <c r="H146" s="10" t="n"/>
      <c r="I146" s="11">
        <f>IF(B146="","",DATE(YEAR(B146)+3,12,31))</f>
        <v/>
      </c>
      <c r="J146" s="8" t="n"/>
      <c r="K146" s="9" t="n"/>
      <c r="L146" s="8" t="n"/>
      <c r="M146" s="9" t="n"/>
      <c r="N146" s="8" t="n"/>
      <c r="O146" s="9" t="n"/>
      <c r="P146" s="12">
        <f>IF(C146="","",C146-SUM(K146,M146,O146))</f>
        <v/>
      </c>
      <c r="Q146" s="13">
        <f>IF(A146="","",IF(P146&lt;=0,"eingelöst",IF(AND(I146&lt;&gt;"",TODAY()&gt;I146),"abgelaufen",IF(P146&lt;C146,"teilweise","offen"))))</f>
        <v/>
      </c>
    </row>
    <row r="147">
      <c r="A147" s="7" t="n"/>
      <c r="B147" s="8" t="n"/>
      <c r="C147" s="9" t="n"/>
      <c r="D147" s="10" t="n"/>
      <c r="E147" s="10" t="n"/>
      <c r="F147" s="10" t="n"/>
      <c r="G147" s="10" t="n"/>
      <c r="H147" s="10" t="n"/>
      <c r="I147" s="11">
        <f>IF(B147="","",DATE(YEAR(B147)+3,12,31))</f>
        <v/>
      </c>
      <c r="J147" s="8" t="n"/>
      <c r="K147" s="9" t="n"/>
      <c r="L147" s="8" t="n"/>
      <c r="M147" s="9" t="n"/>
      <c r="N147" s="8" t="n"/>
      <c r="O147" s="9" t="n"/>
      <c r="P147" s="12">
        <f>IF(C147="","",C147-SUM(K147,M147,O147))</f>
        <v/>
      </c>
      <c r="Q147" s="13">
        <f>IF(A147="","",IF(P147&lt;=0,"eingelöst",IF(AND(I147&lt;&gt;"",TODAY()&gt;I147),"abgelaufen",IF(P147&lt;C147,"teilweise","offen"))))</f>
        <v/>
      </c>
    </row>
    <row r="148">
      <c r="A148" s="7" t="n"/>
      <c r="B148" s="8" t="n"/>
      <c r="C148" s="9" t="n"/>
      <c r="D148" s="10" t="n"/>
      <c r="E148" s="10" t="n"/>
      <c r="F148" s="10" t="n"/>
      <c r="G148" s="10" t="n"/>
      <c r="H148" s="10" t="n"/>
      <c r="I148" s="11">
        <f>IF(B148="","",DATE(YEAR(B148)+3,12,31))</f>
        <v/>
      </c>
      <c r="J148" s="8" t="n"/>
      <c r="K148" s="9" t="n"/>
      <c r="L148" s="8" t="n"/>
      <c r="M148" s="9" t="n"/>
      <c r="N148" s="8" t="n"/>
      <c r="O148" s="9" t="n"/>
      <c r="P148" s="12">
        <f>IF(C148="","",C148-SUM(K148,M148,O148))</f>
        <v/>
      </c>
      <c r="Q148" s="13">
        <f>IF(A148="","",IF(P148&lt;=0,"eingelöst",IF(AND(I148&lt;&gt;"",TODAY()&gt;I148),"abgelaufen",IF(P148&lt;C148,"teilweise","offen"))))</f>
        <v/>
      </c>
    </row>
    <row r="149">
      <c r="A149" s="7" t="n"/>
      <c r="B149" s="8" t="n"/>
      <c r="C149" s="9" t="n"/>
      <c r="D149" s="10" t="n"/>
      <c r="E149" s="10" t="n"/>
      <c r="F149" s="10" t="n"/>
      <c r="G149" s="10" t="n"/>
      <c r="H149" s="10" t="n"/>
      <c r="I149" s="11">
        <f>IF(B149="","",DATE(YEAR(B149)+3,12,31))</f>
        <v/>
      </c>
      <c r="J149" s="8" t="n"/>
      <c r="K149" s="9" t="n"/>
      <c r="L149" s="8" t="n"/>
      <c r="M149" s="9" t="n"/>
      <c r="N149" s="8" t="n"/>
      <c r="O149" s="9" t="n"/>
      <c r="P149" s="12">
        <f>IF(C149="","",C149-SUM(K149,M149,O149))</f>
        <v/>
      </c>
      <c r="Q149" s="13">
        <f>IF(A149="","",IF(P149&lt;=0,"eingelöst",IF(AND(I149&lt;&gt;"",TODAY()&gt;I149),"abgelaufen",IF(P149&lt;C149,"teilweise","offen"))))</f>
        <v/>
      </c>
    </row>
    <row r="150">
      <c r="A150" s="7" t="n"/>
      <c r="B150" s="8" t="n"/>
      <c r="C150" s="9" t="n"/>
      <c r="D150" s="10" t="n"/>
      <c r="E150" s="10" t="n"/>
      <c r="F150" s="10" t="n"/>
      <c r="G150" s="10" t="n"/>
      <c r="H150" s="10" t="n"/>
      <c r="I150" s="11">
        <f>IF(B150="","",DATE(YEAR(B150)+3,12,31))</f>
        <v/>
      </c>
      <c r="J150" s="8" t="n"/>
      <c r="K150" s="9" t="n"/>
      <c r="L150" s="8" t="n"/>
      <c r="M150" s="9" t="n"/>
      <c r="N150" s="8" t="n"/>
      <c r="O150" s="9" t="n"/>
      <c r="P150" s="12">
        <f>IF(C150="","",C150-SUM(K150,M150,O150))</f>
        <v/>
      </c>
      <c r="Q150" s="13">
        <f>IF(A150="","",IF(P150&lt;=0,"eingelöst",IF(AND(I150&lt;&gt;"",TODAY()&gt;I150),"abgelaufen",IF(P150&lt;C150,"teilweise","offen"))))</f>
        <v/>
      </c>
    </row>
    <row r="151">
      <c r="A151" s="7" t="n"/>
      <c r="B151" s="8" t="n"/>
      <c r="C151" s="9" t="n"/>
      <c r="D151" s="10" t="n"/>
      <c r="E151" s="10" t="n"/>
      <c r="F151" s="10" t="n"/>
      <c r="G151" s="10" t="n"/>
      <c r="H151" s="10" t="n"/>
      <c r="I151" s="11">
        <f>IF(B151="","",DATE(YEAR(B151)+3,12,31))</f>
        <v/>
      </c>
      <c r="J151" s="8" t="n"/>
      <c r="K151" s="9" t="n"/>
      <c r="L151" s="8" t="n"/>
      <c r="M151" s="9" t="n"/>
      <c r="N151" s="8" t="n"/>
      <c r="O151" s="9" t="n"/>
      <c r="P151" s="12">
        <f>IF(C151="","",C151-SUM(K151,M151,O151))</f>
        <v/>
      </c>
      <c r="Q151" s="13">
        <f>IF(A151="","",IF(P151&lt;=0,"eingelöst",IF(AND(I151&lt;&gt;"",TODAY()&gt;I151),"abgelaufen",IF(P151&lt;C151,"teilweise","offen"))))</f>
        <v/>
      </c>
    </row>
    <row r="152">
      <c r="A152" s="7" t="n"/>
      <c r="B152" s="8" t="n"/>
      <c r="C152" s="9" t="n"/>
      <c r="D152" s="10" t="n"/>
      <c r="E152" s="10" t="n"/>
      <c r="F152" s="10" t="n"/>
      <c r="G152" s="10" t="n"/>
      <c r="H152" s="10" t="n"/>
      <c r="I152" s="11">
        <f>IF(B152="","",DATE(YEAR(B152)+3,12,31))</f>
        <v/>
      </c>
      <c r="J152" s="8" t="n"/>
      <c r="K152" s="9" t="n"/>
      <c r="L152" s="8" t="n"/>
      <c r="M152" s="9" t="n"/>
      <c r="N152" s="8" t="n"/>
      <c r="O152" s="9" t="n"/>
      <c r="P152" s="12">
        <f>IF(C152="","",C152-SUM(K152,M152,O152))</f>
        <v/>
      </c>
      <c r="Q152" s="13">
        <f>IF(A152="","",IF(P152&lt;=0,"eingelöst",IF(AND(I152&lt;&gt;"",TODAY()&gt;I152),"abgelaufen",IF(P152&lt;C152,"teilweise","offen"))))</f>
        <v/>
      </c>
    </row>
    <row r="153">
      <c r="A153" s="7" t="n"/>
      <c r="B153" s="8" t="n"/>
      <c r="C153" s="9" t="n"/>
      <c r="D153" s="10" t="n"/>
      <c r="E153" s="10" t="n"/>
      <c r="F153" s="10" t="n"/>
      <c r="G153" s="10" t="n"/>
      <c r="H153" s="10" t="n"/>
      <c r="I153" s="11">
        <f>IF(B153="","",DATE(YEAR(B153)+3,12,31))</f>
        <v/>
      </c>
      <c r="J153" s="8" t="n"/>
      <c r="K153" s="9" t="n"/>
      <c r="L153" s="8" t="n"/>
      <c r="M153" s="9" t="n"/>
      <c r="N153" s="8" t="n"/>
      <c r="O153" s="9" t="n"/>
      <c r="P153" s="12">
        <f>IF(C153="","",C153-SUM(K153,M153,O153))</f>
        <v/>
      </c>
      <c r="Q153" s="13">
        <f>IF(A153="","",IF(P153&lt;=0,"eingelöst",IF(AND(I153&lt;&gt;"",TODAY()&gt;I153),"abgelaufen",IF(P153&lt;C153,"teilweise","offen"))))</f>
        <v/>
      </c>
    </row>
    <row r="154">
      <c r="A154" s="7" t="n"/>
      <c r="B154" s="8" t="n"/>
      <c r="C154" s="9" t="n"/>
      <c r="D154" s="10" t="n"/>
      <c r="E154" s="10" t="n"/>
      <c r="F154" s="10" t="n"/>
      <c r="G154" s="10" t="n"/>
      <c r="H154" s="10" t="n"/>
      <c r="I154" s="11">
        <f>IF(B154="","",DATE(YEAR(B154)+3,12,31))</f>
        <v/>
      </c>
      <c r="J154" s="8" t="n"/>
      <c r="K154" s="9" t="n"/>
      <c r="L154" s="8" t="n"/>
      <c r="M154" s="9" t="n"/>
      <c r="N154" s="8" t="n"/>
      <c r="O154" s="9" t="n"/>
      <c r="P154" s="12">
        <f>IF(C154="","",C154-SUM(K154,M154,O154))</f>
        <v/>
      </c>
      <c r="Q154" s="13">
        <f>IF(A154="","",IF(P154&lt;=0,"eingelöst",IF(AND(I154&lt;&gt;"",TODAY()&gt;I154),"abgelaufen",IF(P154&lt;C154,"teilweise","offen"))))</f>
        <v/>
      </c>
    </row>
    <row r="155">
      <c r="A155" s="7" t="n"/>
      <c r="B155" s="8" t="n"/>
      <c r="C155" s="9" t="n"/>
      <c r="D155" s="10" t="n"/>
      <c r="E155" s="10" t="n"/>
      <c r="F155" s="10" t="n"/>
      <c r="G155" s="10" t="n"/>
      <c r="H155" s="10" t="n"/>
      <c r="I155" s="11">
        <f>IF(B155="","",DATE(YEAR(B155)+3,12,31))</f>
        <v/>
      </c>
      <c r="J155" s="8" t="n"/>
      <c r="K155" s="9" t="n"/>
      <c r="L155" s="8" t="n"/>
      <c r="M155" s="9" t="n"/>
      <c r="N155" s="8" t="n"/>
      <c r="O155" s="9" t="n"/>
      <c r="P155" s="12">
        <f>IF(C155="","",C155-SUM(K155,M155,O155))</f>
        <v/>
      </c>
      <c r="Q155" s="13">
        <f>IF(A155="","",IF(P155&lt;=0,"eingelöst",IF(AND(I155&lt;&gt;"",TODAY()&gt;I155),"abgelaufen",IF(P155&lt;C155,"teilweise","offen"))))</f>
        <v/>
      </c>
    </row>
    <row r="156">
      <c r="A156" s="7" t="n"/>
      <c r="B156" s="8" t="n"/>
      <c r="C156" s="9" t="n"/>
      <c r="D156" s="10" t="n"/>
      <c r="E156" s="10" t="n"/>
      <c r="F156" s="10" t="n"/>
      <c r="G156" s="10" t="n"/>
      <c r="H156" s="10" t="n"/>
      <c r="I156" s="11">
        <f>IF(B156="","",DATE(YEAR(B156)+3,12,31))</f>
        <v/>
      </c>
      <c r="J156" s="8" t="n"/>
      <c r="K156" s="9" t="n"/>
      <c r="L156" s="8" t="n"/>
      <c r="M156" s="9" t="n"/>
      <c r="N156" s="8" t="n"/>
      <c r="O156" s="9" t="n"/>
      <c r="P156" s="12">
        <f>IF(C156="","",C156-SUM(K156,M156,O156))</f>
        <v/>
      </c>
      <c r="Q156" s="13">
        <f>IF(A156="","",IF(P156&lt;=0,"eingelöst",IF(AND(I156&lt;&gt;"",TODAY()&gt;I156),"abgelaufen",IF(P156&lt;C156,"teilweise","offen"))))</f>
        <v/>
      </c>
    </row>
    <row r="157">
      <c r="A157" s="7" t="n"/>
      <c r="B157" s="8" t="n"/>
      <c r="C157" s="9" t="n"/>
      <c r="D157" s="10" t="n"/>
      <c r="E157" s="10" t="n"/>
      <c r="F157" s="10" t="n"/>
      <c r="G157" s="10" t="n"/>
      <c r="H157" s="10" t="n"/>
      <c r="I157" s="11">
        <f>IF(B157="","",DATE(YEAR(B157)+3,12,31))</f>
        <v/>
      </c>
      <c r="J157" s="8" t="n"/>
      <c r="K157" s="9" t="n"/>
      <c r="L157" s="8" t="n"/>
      <c r="M157" s="9" t="n"/>
      <c r="N157" s="8" t="n"/>
      <c r="O157" s="9" t="n"/>
      <c r="P157" s="12">
        <f>IF(C157="","",C157-SUM(K157,M157,O157))</f>
        <v/>
      </c>
      <c r="Q157" s="13">
        <f>IF(A157="","",IF(P157&lt;=0,"eingelöst",IF(AND(I157&lt;&gt;"",TODAY()&gt;I157),"abgelaufen",IF(P157&lt;C157,"teilweise","offen"))))</f>
        <v/>
      </c>
    </row>
    <row r="158">
      <c r="A158" s="7" t="n"/>
      <c r="B158" s="8" t="n"/>
      <c r="C158" s="9" t="n"/>
      <c r="D158" s="10" t="n"/>
      <c r="E158" s="10" t="n"/>
      <c r="F158" s="10" t="n"/>
      <c r="G158" s="10" t="n"/>
      <c r="H158" s="10" t="n"/>
      <c r="I158" s="11">
        <f>IF(B158="","",DATE(YEAR(B158)+3,12,31))</f>
        <v/>
      </c>
      <c r="J158" s="8" t="n"/>
      <c r="K158" s="9" t="n"/>
      <c r="L158" s="8" t="n"/>
      <c r="M158" s="9" t="n"/>
      <c r="N158" s="8" t="n"/>
      <c r="O158" s="9" t="n"/>
      <c r="P158" s="12">
        <f>IF(C158="","",C158-SUM(K158,M158,O158))</f>
        <v/>
      </c>
      <c r="Q158" s="13">
        <f>IF(A158="","",IF(P158&lt;=0,"eingelöst",IF(AND(I158&lt;&gt;"",TODAY()&gt;I158),"abgelaufen",IF(P158&lt;C158,"teilweise","offen"))))</f>
        <v/>
      </c>
    </row>
    <row r="159">
      <c r="A159" s="7" t="n"/>
      <c r="B159" s="8" t="n"/>
      <c r="C159" s="9" t="n"/>
      <c r="D159" s="10" t="n"/>
      <c r="E159" s="10" t="n"/>
      <c r="F159" s="10" t="n"/>
      <c r="G159" s="10" t="n"/>
      <c r="H159" s="10" t="n"/>
      <c r="I159" s="11">
        <f>IF(B159="","",DATE(YEAR(B159)+3,12,31))</f>
        <v/>
      </c>
      <c r="J159" s="8" t="n"/>
      <c r="K159" s="9" t="n"/>
      <c r="L159" s="8" t="n"/>
      <c r="M159" s="9" t="n"/>
      <c r="N159" s="8" t="n"/>
      <c r="O159" s="9" t="n"/>
      <c r="P159" s="12">
        <f>IF(C159="","",C159-SUM(K159,M159,O159))</f>
        <v/>
      </c>
      <c r="Q159" s="13">
        <f>IF(A159="","",IF(P159&lt;=0,"eingelöst",IF(AND(I159&lt;&gt;"",TODAY()&gt;I159),"abgelaufen",IF(P159&lt;C159,"teilweise","offen"))))</f>
        <v/>
      </c>
    </row>
    <row r="160">
      <c r="A160" s="7" t="n"/>
      <c r="B160" s="8" t="n"/>
      <c r="C160" s="9" t="n"/>
      <c r="D160" s="10" t="n"/>
      <c r="E160" s="10" t="n"/>
      <c r="F160" s="10" t="n"/>
      <c r="G160" s="10" t="n"/>
      <c r="H160" s="10" t="n"/>
      <c r="I160" s="11">
        <f>IF(B160="","",DATE(YEAR(B160)+3,12,31))</f>
        <v/>
      </c>
      <c r="J160" s="8" t="n"/>
      <c r="K160" s="9" t="n"/>
      <c r="L160" s="8" t="n"/>
      <c r="M160" s="9" t="n"/>
      <c r="N160" s="8" t="n"/>
      <c r="O160" s="9" t="n"/>
      <c r="P160" s="12">
        <f>IF(C160="","",C160-SUM(K160,M160,O160))</f>
        <v/>
      </c>
      <c r="Q160" s="13">
        <f>IF(A160="","",IF(P160&lt;=0,"eingelöst",IF(AND(I160&lt;&gt;"",TODAY()&gt;I160),"abgelaufen",IF(P160&lt;C160,"teilweise","offen"))))</f>
        <v/>
      </c>
    </row>
    <row r="161">
      <c r="A161" s="7" t="n"/>
      <c r="B161" s="8" t="n"/>
      <c r="C161" s="9" t="n"/>
      <c r="D161" s="10" t="n"/>
      <c r="E161" s="10" t="n"/>
      <c r="F161" s="10" t="n"/>
      <c r="G161" s="10" t="n"/>
      <c r="H161" s="10" t="n"/>
      <c r="I161" s="11">
        <f>IF(B161="","",DATE(YEAR(B161)+3,12,31))</f>
        <v/>
      </c>
      <c r="J161" s="8" t="n"/>
      <c r="K161" s="9" t="n"/>
      <c r="L161" s="8" t="n"/>
      <c r="M161" s="9" t="n"/>
      <c r="N161" s="8" t="n"/>
      <c r="O161" s="9" t="n"/>
      <c r="P161" s="12">
        <f>IF(C161="","",C161-SUM(K161,M161,O161))</f>
        <v/>
      </c>
      <c r="Q161" s="13">
        <f>IF(A161="","",IF(P161&lt;=0,"eingelöst",IF(AND(I161&lt;&gt;"",TODAY()&gt;I161),"abgelaufen",IF(P161&lt;C161,"teilweise","offen"))))</f>
        <v/>
      </c>
    </row>
    <row r="162">
      <c r="A162" s="7" t="n"/>
      <c r="B162" s="8" t="n"/>
      <c r="C162" s="9" t="n"/>
      <c r="D162" s="10" t="n"/>
      <c r="E162" s="10" t="n"/>
      <c r="F162" s="10" t="n"/>
      <c r="G162" s="10" t="n"/>
      <c r="H162" s="10" t="n"/>
      <c r="I162" s="11">
        <f>IF(B162="","",DATE(YEAR(B162)+3,12,31))</f>
        <v/>
      </c>
      <c r="J162" s="8" t="n"/>
      <c r="K162" s="9" t="n"/>
      <c r="L162" s="8" t="n"/>
      <c r="M162" s="9" t="n"/>
      <c r="N162" s="8" t="n"/>
      <c r="O162" s="9" t="n"/>
      <c r="P162" s="12">
        <f>IF(C162="","",C162-SUM(K162,M162,O162))</f>
        <v/>
      </c>
      <c r="Q162" s="13">
        <f>IF(A162="","",IF(P162&lt;=0,"eingelöst",IF(AND(I162&lt;&gt;"",TODAY()&gt;I162),"abgelaufen",IF(P162&lt;C162,"teilweise","offen"))))</f>
        <v/>
      </c>
    </row>
    <row r="163">
      <c r="A163" s="7" t="n"/>
      <c r="B163" s="8" t="n"/>
      <c r="C163" s="9" t="n"/>
      <c r="D163" s="10" t="n"/>
      <c r="E163" s="10" t="n"/>
      <c r="F163" s="10" t="n"/>
      <c r="G163" s="10" t="n"/>
      <c r="H163" s="10" t="n"/>
      <c r="I163" s="11">
        <f>IF(B163="","",DATE(YEAR(B163)+3,12,31))</f>
        <v/>
      </c>
      <c r="J163" s="8" t="n"/>
      <c r="K163" s="9" t="n"/>
      <c r="L163" s="8" t="n"/>
      <c r="M163" s="9" t="n"/>
      <c r="N163" s="8" t="n"/>
      <c r="O163" s="9" t="n"/>
      <c r="P163" s="12">
        <f>IF(C163="","",C163-SUM(K163,M163,O163))</f>
        <v/>
      </c>
      <c r="Q163" s="13">
        <f>IF(A163="","",IF(P163&lt;=0,"eingelöst",IF(AND(I163&lt;&gt;"",TODAY()&gt;I163),"abgelaufen",IF(P163&lt;C163,"teilweise","offen"))))</f>
        <v/>
      </c>
    </row>
    <row r="164">
      <c r="A164" s="7" t="n"/>
      <c r="B164" s="8" t="n"/>
      <c r="C164" s="9" t="n"/>
      <c r="D164" s="10" t="n"/>
      <c r="E164" s="10" t="n"/>
      <c r="F164" s="10" t="n"/>
      <c r="G164" s="10" t="n"/>
      <c r="H164" s="10" t="n"/>
      <c r="I164" s="11">
        <f>IF(B164="","",DATE(YEAR(B164)+3,12,31))</f>
        <v/>
      </c>
      <c r="J164" s="8" t="n"/>
      <c r="K164" s="9" t="n"/>
      <c r="L164" s="8" t="n"/>
      <c r="M164" s="9" t="n"/>
      <c r="N164" s="8" t="n"/>
      <c r="O164" s="9" t="n"/>
      <c r="P164" s="12">
        <f>IF(C164="","",C164-SUM(K164,M164,O164))</f>
        <v/>
      </c>
      <c r="Q164" s="13">
        <f>IF(A164="","",IF(P164&lt;=0,"eingelöst",IF(AND(I164&lt;&gt;"",TODAY()&gt;I164),"abgelaufen",IF(P164&lt;C164,"teilweise","offen"))))</f>
        <v/>
      </c>
    </row>
    <row r="165">
      <c r="A165" s="7" t="n"/>
      <c r="B165" s="8" t="n"/>
      <c r="C165" s="9" t="n"/>
      <c r="D165" s="10" t="n"/>
      <c r="E165" s="10" t="n"/>
      <c r="F165" s="10" t="n"/>
      <c r="G165" s="10" t="n"/>
      <c r="H165" s="10" t="n"/>
      <c r="I165" s="11">
        <f>IF(B165="","",DATE(YEAR(B165)+3,12,31))</f>
        <v/>
      </c>
      <c r="J165" s="8" t="n"/>
      <c r="K165" s="9" t="n"/>
      <c r="L165" s="8" t="n"/>
      <c r="M165" s="9" t="n"/>
      <c r="N165" s="8" t="n"/>
      <c r="O165" s="9" t="n"/>
      <c r="P165" s="12">
        <f>IF(C165="","",C165-SUM(K165,M165,O165))</f>
        <v/>
      </c>
      <c r="Q165" s="13">
        <f>IF(A165="","",IF(P165&lt;=0,"eingelöst",IF(AND(I165&lt;&gt;"",TODAY()&gt;I165),"abgelaufen",IF(P165&lt;C165,"teilweise","offen"))))</f>
        <v/>
      </c>
    </row>
    <row r="166">
      <c r="A166" s="7" t="n"/>
      <c r="B166" s="8" t="n"/>
      <c r="C166" s="9" t="n"/>
      <c r="D166" s="10" t="n"/>
      <c r="E166" s="10" t="n"/>
      <c r="F166" s="10" t="n"/>
      <c r="G166" s="10" t="n"/>
      <c r="H166" s="10" t="n"/>
      <c r="I166" s="11">
        <f>IF(B166="","",DATE(YEAR(B166)+3,12,31))</f>
        <v/>
      </c>
      <c r="J166" s="8" t="n"/>
      <c r="K166" s="9" t="n"/>
      <c r="L166" s="8" t="n"/>
      <c r="M166" s="9" t="n"/>
      <c r="N166" s="8" t="n"/>
      <c r="O166" s="9" t="n"/>
      <c r="P166" s="12">
        <f>IF(C166="","",C166-SUM(K166,M166,O166))</f>
        <v/>
      </c>
      <c r="Q166" s="13">
        <f>IF(A166="","",IF(P166&lt;=0,"eingelöst",IF(AND(I166&lt;&gt;"",TODAY()&gt;I166),"abgelaufen",IF(P166&lt;C166,"teilweise","offen"))))</f>
        <v/>
      </c>
    </row>
    <row r="167">
      <c r="A167" s="7" t="n"/>
      <c r="B167" s="8" t="n"/>
      <c r="C167" s="9" t="n"/>
      <c r="D167" s="10" t="n"/>
      <c r="E167" s="10" t="n"/>
      <c r="F167" s="10" t="n"/>
      <c r="G167" s="10" t="n"/>
      <c r="H167" s="10" t="n"/>
      <c r="I167" s="11">
        <f>IF(B167="","",DATE(YEAR(B167)+3,12,31))</f>
        <v/>
      </c>
      <c r="J167" s="8" t="n"/>
      <c r="K167" s="9" t="n"/>
      <c r="L167" s="8" t="n"/>
      <c r="M167" s="9" t="n"/>
      <c r="N167" s="8" t="n"/>
      <c r="O167" s="9" t="n"/>
      <c r="P167" s="12">
        <f>IF(C167="","",C167-SUM(K167,M167,O167))</f>
        <v/>
      </c>
      <c r="Q167" s="13">
        <f>IF(A167="","",IF(P167&lt;=0,"eingelöst",IF(AND(I167&lt;&gt;"",TODAY()&gt;I167),"abgelaufen",IF(P167&lt;C167,"teilweise","offen"))))</f>
        <v/>
      </c>
    </row>
    <row r="168">
      <c r="A168" s="7" t="n"/>
      <c r="B168" s="8" t="n"/>
      <c r="C168" s="9" t="n"/>
      <c r="D168" s="10" t="n"/>
      <c r="E168" s="10" t="n"/>
      <c r="F168" s="10" t="n"/>
      <c r="G168" s="10" t="n"/>
      <c r="H168" s="10" t="n"/>
      <c r="I168" s="11">
        <f>IF(B168="","",DATE(YEAR(B168)+3,12,31))</f>
        <v/>
      </c>
      <c r="J168" s="8" t="n"/>
      <c r="K168" s="9" t="n"/>
      <c r="L168" s="8" t="n"/>
      <c r="M168" s="9" t="n"/>
      <c r="N168" s="8" t="n"/>
      <c r="O168" s="9" t="n"/>
      <c r="P168" s="12">
        <f>IF(C168="","",C168-SUM(K168,M168,O168))</f>
        <v/>
      </c>
      <c r="Q168" s="13">
        <f>IF(A168="","",IF(P168&lt;=0,"eingelöst",IF(AND(I168&lt;&gt;"",TODAY()&gt;I168),"abgelaufen",IF(P168&lt;C168,"teilweise","offen"))))</f>
        <v/>
      </c>
    </row>
    <row r="169">
      <c r="A169" s="7" t="n"/>
      <c r="B169" s="8" t="n"/>
      <c r="C169" s="9" t="n"/>
      <c r="D169" s="10" t="n"/>
      <c r="E169" s="10" t="n"/>
      <c r="F169" s="10" t="n"/>
      <c r="G169" s="10" t="n"/>
      <c r="H169" s="10" t="n"/>
      <c r="I169" s="11">
        <f>IF(B169="","",DATE(YEAR(B169)+3,12,31))</f>
        <v/>
      </c>
      <c r="J169" s="8" t="n"/>
      <c r="K169" s="9" t="n"/>
      <c r="L169" s="8" t="n"/>
      <c r="M169" s="9" t="n"/>
      <c r="N169" s="8" t="n"/>
      <c r="O169" s="9" t="n"/>
      <c r="P169" s="12">
        <f>IF(C169="","",C169-SUM(K169,M169,O169))</f>
        <v/>
      </c>
      <c r="Q169" s="13">
        <f>IF(A169="","",IF(P169&lt;=0,"eingelöst",IF(AND(I169&lt;&gt;"",TODAY()&gt;I169),"abgelaufen",IF(P169&lt;C169,"teilweise","offen"))))</f>
        <v/>
      </c>
    </row>
    <row r="170">
      <c r="A170" s="7" t="n"/>
      <c r="B170" s="8" t="n"/>
      <c r="C170" s="9" t="n"/>
      <c r="D170" s="10" t="n"/>
      <c r="E170" s="10" t="n"/>
      <c r="F170" s="10" t="n"/>
      <c r="G170" s="10" t="n"/>
      <c r="H170" s="10" t="n"/>
      <c r="I170" s="11">
        <f>IF(B170="","",DATE(YEAR(B170)+3,12,31))</f>
        <v/>
      </c>
      <c r="J170" s="8" t="n"/>
      <c r="K170" s="9" t="n"/>
      <c r="L170" s="8" t="n"/>
      <c r="M170" s="9" t="n"/>
      <c r="N170" s="8" t="n"/>
      <c r="O170" s="9" t="n"/>
      <c r="P170" s="12">
        <f>IF(C170="","",C170-SUM(K170,M170,O170))</f>
        <v/>
      </c>
      <c r="Q170" s="13">
        <f>IF(A170="","",IF(P170&lt;=0,"eingelöst",IF(AND(I170&lt;&gt;"",TODAY()&gt;I170),"abgelaufen",IF(P170&lt;C170,"teilweise","offen"))))</f>
        <v/>
      </c>
    </row>
    <row r="171">
      <c r="A171" s="7" t="n"/>
      <c r="B171" s="8" t="n"/>
      <c r="C171" s="9" t="n"/>
      <c r="D171" s="10" t="n"/>
      <c r="E171" s="10" t="n"/>
      <c r="F171" s="10" t="n"/>
      <c r="G171" s="10" t="n"/>
      <c r="H171" s="10" t="n"/>
      <c r="I171" s="11">
        <f>IF(B171="","",DATE(YEAR(B171)+3,12,31))</f>
        <v/>
      </c>
      <c r="J171" s="8" t="n"/>
      <c r="K171" s="9" t="n"/>
      <c r="L171" s="8" t="n"/>
      <c r="M171" s="9" t="n"/>
      <c r="N171" s="8" t="n"/>
      <c r="O171" s="9" t="n"/>
      <c r="P171" s="12">
        <f>IF(C171="","",C171-SUM(K171,M171,O171))</f>
        <v/>
      </c>
      <c r="Q171" s="13">
        <f>IF(A171="","",IF(P171&lt;=0,"eingelöst",IF(AND(I171&lt;&gt;"",TODAY()&gt;I171),"abgelaufen",IF(P171&lt;C171,"teilweise","offen"))))</f>
        <v/>
      </c>
    </row>
    <row r="172">
      <c r="A172" s="7" t="n"/>
      <c r="B172" s="8" t="n"/>
      <c r="C172" s="9" t="n"/>
      <c r="D172" s="10" t="n"/>
      <c r="E172" s="10" t="n"/>
      <c r="F172" s="10" t="n"/>
      <c r="G172" s="10" t="n"/>
      <c r="H172" s="10" t="n"/>
      <c r="I172" s="11">
        <f>IF(B172="","",DATE(YEAR(B172)+3,12,31))</f>
        <v/>
      </c>
      <c r="J172" s="8" t="n"/>
      <c r="K172" s="9" t="n"/>
      <c r="L172" s="8" t="n"/>
      <c r="M172" s="9" t="n"/>
      <c r="N172" s="8" t="n"/>
      <c r="O172" s="9" t="n"/>
      <c r="P172" s="12">
        <f>IF(C172="","",C172-SUM(K172,M172,O172))</f>
        <v/>
      </c>
      <c r="Q172" s="13">
        <f>IF(A172="","",IF(P172&lt;=0,"eingelöst",IF(AND(I172&lt;&gt;"",TODAY()&gt;I172),"abgelaufen",IF(P172&lt;C172,"teilweise","offen"))))</f>
        <v/>
      </c>
    </row>
    <row r="173">
      <c r="A173" s="7" t="n"/>
      <c r="B173" s="8" t="n"/>
      <c r="C173" s="9" t="n"/>
      <c r="D173" s="10" t="n"/>
      <c r="E173" s="10" t="n"/>
      <c r="F173" s="10" t="n"/>
      <c r="G173" s="10" t="n"/>
      <c r="H173" s="10" t="n"/>
      <c r="I173" s="11">
        <f>IF(B173="","",DATE(YEAR(B173)+3,12,31))</f>
        <v/>
      </c>
      <c r="J173" s="8" t="n"/>
      <c r="K173" s="9" t="n"/>
      <c r="L173" s="8" t="n"/>
      <c r="M173" s="9" t="n"/>
      <c r="N173" s="8" t="n"/>
      <c r="O173" s="9" t="n"/>
      <c r="P173" s="12">
        <f>IF(C173="","",C173-SUM(K173,M173,O173))</f>
        <v/>
      </c>
      <c r="Q173" s="13">
        <f>IF(A173="","",IF(P173&lt;=0,"eingelöst",IF(AND(I173&lt;&gt;"",TODAY()&gt;I173),"abgelaufen",IF(P173&lt;C173,"teilweise","offen"))))</f>
        <v/>
      </c>
    </row>
    <row r="174">
      <c r="A174" s="7" t="n"/>
      <c r="B174" s="8" t="n"/>
      <c r="C174" s="9" t="n"/>
      <c r="D174" s="10" t="n"/>
      <c r="E174" s="10" t="n"/>
      <c r="F174" s="10" t="n"/>
      <c r="G174" s="10" t="n"/>
      <c r="H174" s="10" t="n"/>
      <c r="I174" s="11">
        <f>IF(B174="","",DATE(YEAR(B174)+3,12,31))</f>
        <v/>
      </c>
      <c r="J174" s="8" t="n"/>
      <c r="K174" s="9" t="n"/>
      <c r="L174" s="8" t="n"/>
      <c r="M174" s="9" t="n"/>
      <c r="N174" s="8" t="n"/>
      <c r="O174" s="9" t="n"/>
      <c r="P174" s="12">
        <f>IF(C174="","",C174-SUM(K174,M174,O174))</f>
        <v/>
      </c>
      <c r="Q174" s="13">
        <f>IF(A174="","",IF(P174&lt;=0,"eingelöst",IF(AND(I174&lt;&gt;"",TODAY()&gt;I174),"abgelaufen",IF(P174&lt;C174,"teilweise","offen"))))</f>
        <v/>
      </c>
    </row>
    <row r="175">
      <c r="A175" s="7" t="n"/>
      <c r="B175" s="8" t="n"/>
      <c r="C175" s="9" t="n"/>
      <c r="D175" s="10" t="n"/>
      <c r="E175" s="10" t="n"/>
      <c r="F175" s="10" t="n"/>
      <c r="G175" s="10" t="n"/>
      <c r="H175" s="10" t="n"/>
      <c r="I175" s="11">
        <f>IF(B175="","",DATE(YEAR(B175)+3,12,31))</f>
        <v/>
      </c>
      <c r="J175" s="8" t="n"/>
      <c r="K175" s="9" t="n"/>
      <c r="L175" s="8" t="n"/>
      <c r="M175" s="9" t="n"/>
      <c r="N175" s="8" t="n"/>
      <c r="O175" s="9" t="n"/>
      <c r="P175" s="12">
        <f>IF(C175="","",C175-SUM(K175,M175,O175))</f>
        <v/>
      </c>
      <c r="Q175" s="13">
        <f>IF(A175="","",IF(P175&lt;=0,"eingelöst",IF(AND(I175&lt;&gt;"",TODAY()&gt;I175),"abgelaufen",IF(P175&lt;C175,"teilweise","offen"))))</f>
        <v/>
      </c>
    </row>
    <row r="176">
      <c r="A176" s="7" t="n"/>
      <c r="B176" s="8" t="n"/>
      <c r="C176" s="9" t="n"/>
      <c r="D176" s="10" t="n"/>
      <c r="E176" s="10" t="n"/>
      <c r="F176" s="10" t="n"/>
      <c r="G176" s="10" t="n"/>
      <c r="H176" s="10" t="n"/>
      <c r="I176" s="11">
        <f>IF(B176="","",DATE(YEAR(B176)+3,12,31))</f>
        <v/>
      </c>
      <c r="J176" s="8" t="n"/>
      <c r="K176" s="9" t="n"/>
      <c r="L176" s="8" t="n"/>
      <c r="M176" s="9" t="n"/>
      <c r="N176" s="8" t="n"/>
      <c r="O176" s="9" t="n"/>
      <c r="P176" s="12">
        <f>IF(C176="","",C176-SUM(K176,M176,O176))</f>
        <v/>
      </c>
      <c r="Q176" s="13">
        <f>IF(A176="","",IF(P176&lt;=0,"eingelöst",IF(AND(I176&lt;&gt;"",TODAY()&gt;I176),"abgelaufen",IF(P176&lt;C176,"teilweise","offen"))))</f>
        <v/>
      </c>
    </row>
    <row r="177">
      <c r="A177" s="7" t="n"/>
      <c r="B177" s="8" t="n"/>
      <c r="C177" s="9" t="n"/>
      <c r="D177" s="10" t="n"/>
      <c r="E177" s="10" t="n"/>
      <c r="F177" s="10" t="n"/>
      <c r="G177" s="10" t="n"/>
      <c r="H177" s="10" t="n"/>
      <c r="I177" s="11">
        <f>IF(B177="","",DATE(YEAR(B177)+3,12,31))</f>
        <v/>
      </c>
      <c r="J177" s="8" t="n"/>
      <c r="K177" s="9" t="n"/>
      <c r="L177" s="8" t="n"/>
      <c r="M177" s="9" t="n"/>
      <c r="N177" s="8" t="n"/>
      <c r="O177" s="9" t="n"/>
      <c r="P177" s="12">
        <f>IF(C177="","",C177-SUM(K177,M177,O177))</f>
        <v/>
      </c>
      <c r="Q177" s="13">
        <f>IF(A177="","",IF(P177&lt;=0,"eingelöst",IF(AND(I177&lt;&gt;"",TODAY()&gt;I177),"abgelaufen",IF(P177&lt;C177,"teilweise","offen"))))</f>
        <v/>
      </c>
    </row>
    <row r="178">
      <c r="A178" s="7" t="n"/>
      <c r="B178" s="8" t="n"/>
      <c r="C178" s="9" t="n"/>
      <c r="D178" s="10" t="n"/>
      <c r="E178" s="10" t="n"/>
      <c r="F178" s="10" t="n"/>
      <c r="G178" s="10" t="n"/>
      <c r="H178" s="10" t="n"/>
      <c r="I178" s="11">
        <f>IF(B178="","",DATE(YEAR(B178)+3,12,31))</f>
        <v/>
      </c>
      <c r="J178" s="8" t="n"/>
      <c r="K178" s="9" t="n"/>
      <c r="L178" s="8" t="n"/>
      <c r="M178" s="9" t="n"/>
      <c r="N178" s="8" t="n"/>
      <c r="O178" s="9" t="n"/>
      <c r="P178" s="12">
        <f>IF(C178="","",C178-SUM(K178,M178,O178))</f>
        <v/>
      </c>
      <c r="Q178" s="13">
        <f>IF(A178="","",IF(P178&lt;=0,"eingelöst",IF(AND(I178&lt;&gt;"",TODAY()&gt;I178),"abgelaufen",IF(P178&lt;C178,"teilweise","offen"))))</f>
        <v/>
      </c>
    </row>
    <row r="179">
      <c r="A179" s="7" t="n"/>
      <c r="B179" s="8" t="n"/>
      <c r="C179" s="9" t="n"/>
      <c r="D179" s="10" t="n"/>
      <c r="E179" s="10" t="n"/>
      <c r="F179" s="10" t="n"/>
      <c r="G179" s="10" t="n"/>
      <c r="H179" s="10" t="n"/>
      <c r="I179" s="11">
        <f>IF(B179="","",DATE(YEAR(B179)+3,12,31))</f>
        <v/>
      </c>
      <c r="J179" s="8" t="n"/>
      <c r="K179" s="9" t="n"/>
      <c r="L179" s="8" t="n"/>
      <c r="M179" s="9" t="n"/>
      <c r="N179" s="8" t="n"/>
      <c r="O179" s="9" t="n"/>
      <c r="P179" s="12">
        <f>IF(C179="","",C179-SUM(K179,M179,O179))</f>
        <v/>
      </c>
      <c r="Q179" s="13">
        <f>IF(A179="","",IF(P179&lt;=0,"eingelöst",IF(AND(I179&lt;&gt;"",TODAY()&gt;I179),"abgelaufen",IF(P179&lt;C179,"teilweise","offen"))))</f>
        <v/>
      </c>
    </row>
    <row r="180">
      <c r="A180" s="7" t="n"/>
      <c r="B180" s="8" t="n"/>
      <c r="C180" s="9" t="n"/>
      <c r="D180" s="10" t="n"/>
      <c r="E180" s="10" t="n"/>
      <c r="F180" s="10" t="n"/>
      <c r="G180" s="10" t="n"/>
      <c r="H180" s="10" t="n"/>
      <c r="I180" s="11">
        <f>IF(B180="","",DATE(YEAR(B180)+3,12,31))</f>
        <v/>
      </c>
      <c r="J180" s="8" t="n"/>
      <c r="K180" s="9" t="n"/>
      <c r="L180" s="8" t="n"/>
      <c r="M180" s="9" t="n"/>
      <c r="N180" s="8" t="n"/>
      <c r="O180" s="9" t="n"/>
      <c r="P180" s="12">
        <f>IF(C180="","",C180-SUM(K180,M180,O180))</f>
        <v/>
      </c>
      <c r="Q180" s="13">
        <f>IF(A180="","",IF(P180&lt;=0,"eingelöst",IF(AND(I180&lt;&gt;"",TODAY()&gt;I180),"abgelaufen",IF(P180&lt;C180,"teilweise","offen"))))</f>
        <v/>
      </c>
    </row>
    <row r="181">
      <c r="A181" s="7" t="n"/>
      <c r="B181" s="8" t="n"/>
      <c r="C181" s="9" t="n"/>
      <c r="D181" s="10" t="n"/>
      <c r="E181" s="10" t="n"/>
      <c r="F181" s="10" t="n"/>
      <c r="G181" s="10" t="n"/>
      <c r="H181" s="10" t="n"/>
      <c r="I181" s="11">
        <f>IF(B181="","",DATE(YEAR(B181)+3,12,31))</f>
        <v/>
      </c>
      <c r="J181" s="8" t="n"/>
      <c r="K181" s="9" t="n"/>
      <c r="L181" s="8" t="n"/>
      <c r="M181" s="9" t="n"/>
      <c r="N181" s="8" t="n"/>
      <c r="O181" s="9" t="n"/>
      <c r="P181" s="12">
        <f>IF(C181="","",C181-SUM(K181,M181,O181))</f>
        <v/>
      </c>
      <c r="Q181" s="13">
        <f>IF(A181="","",IF(P181&lt;=0,"eingelöst",IF(AND(I181&lt;&gt;"",TODAY()&gt;I181),"abgelaufen",IF(P181&lt;C181,"teilweise","offen"))))</f>
        <v/>
      </c>
    </row>
    <row r="182">
      <c r="A182" s="7" t="n"/>
      <c r="B182" s="8" t="n"/>
      <c r="C182" s="9" t="n"/>
      <c r="D182" s="10" t="n"/>
      <c r="E182" s="10" t="n"/>
      <c r="F182" s="10" t="n"/>
      <c r="G182" s="10" t="n"/>
      <c r="H182" s="10" t="n"/>
      <c r="I182" s="11">
        <f>IF(B182="","",DATE(YEAR(B182)+3,12,31))</f>
        <v/>
      </c>
      <c r="J182" s="8" t="n"/>
      <c r="K182" s="9" t="n"/>
      <c r="L182" s="8" t="n"/>
      <c r="M182" s="9" t="n"/>
      <c r="N182" s="8" t="n"/>
      <c r="O182" s="9" t="n"/>
      <c r="P182" s="12">
        <f>IF(C182="","",C182-SUM(K182,M182,O182))</f>
        <v/>
      </c>
      <c r="Q182" s="13">
        <f>IF(A182="","",IF(P182&lt;=0,"eingelöst",IF(AND(I182&lt;&gt;"",TODAY()&gt;I182),"abgelaufen",IF(P182&lt;C182,"teilweise","offen"))))</f>
        <v/>
      </c>
    </row>
    <row r="183">
      <c r="A183" s="7" t="n"/>
      <c r="B183" s="8" t="n"/>
      <c r="C183" s="9" t="n"/>
      <c r="D183" s="10" t="n"/>
      <c r="E183" s="10" t="n"/>
      <c r="F183" s="10" t="n"/>
      <c r="G183" s="10" t="n"/>
      <c r="H183" s="10" t="n"/>
      <c r="I183" s="11">
        <f>IF(B183="","",DATE(YEAR(B183)+3,12,31))</f>
        <v/>
      </c>
      <c r="J183" s="8" t="n"/>
      <c r="K183" s="9" t="n"/>
      <c r="L183" s="8" t="n"/>
      <c r="M183" s="9" t="n"/>
      <c r="N183" s="8" t="n"/>
      <c r="O183" s="9" t="n"/>
      <c r="P183" s="12">
        <f>IF(C183="","",C183-SUM(K183,M183,O183))</f>
        <v/>
      </c>
      <c r="Q183" s="13">
        <f>IF(A183="","",IF(P183&lt;=0,"eingelöst",IF(AND(I183&lt;&gt;"",TODAY()&gt;I183),"abgelaufen",IF(P183&lt;C183,"teilweise","offen"))))</f>
        <v/>
      </c>
    </row>
    <row r="184">
      <c r="A184" s="7" t="n"/>
      <c r="B184" s="8" t="n"/>
      <c r="C184" s="9" t="n"/>
      <c r="D184" s="10" t="n"/>
      <c r="E184" s="10" t="n"/>
      <c r="F184" s="10" t="n"/>
      <c r="G184" s="10" t="n"/>
      <c r="H184" s="10" t="n"/>
      <c r="I184" s="11">
        <f>IF(B184="","",DATE(YEAR(B184)+3,12,31))</f>
        <v/>
      </c>
      <c r="J184" s="8" t="n"/>
      <c r="K184" s="9" t="n"/>
      <c r="L184" s="8" t="n"/>
      <c r="M184" s="9" t="n"/>
      <c r="N184" s="8" t="n"/>
      <c r="O184" s="9" t="n"/>
      <c r="P184" s="12">
        <f>IF(C184="","",C184-SUM(K184,M184,O184))</f>
        <v/>
      </c>
      <c r="Q184" s="13">
        <f>IF(A184="","",IF(P184&lt;=0,"eingelöst",IF(AND(I184&lt;&gt;"",TODAY()&gt;I184),"abgelaufen",IF(P184&lt;C184,"teilweise","offen"))))</f>
        <v/>
      </c>
    </row>
    <row r="185">
      <c r="A185" s="7" t="n"/>
      <c r="B185" s="8" t="n"/>
      <c r="C185" s="9" t="n"/>
      <c r="D185" s="10" t="n"/>
      <c r="E185" s="10" t="n"/>
      <c r="F185" s="10" t="n"/>
      <c r="G185" s="10" t="n"/>
      <c r="H185" s="10" t="n"/>
      <c r="I185" s="11">
        <f>IF(B185="","",DATE(YEAR(B185)+3,12,31))</f>
        <v/>
      </c>
      <c r="J185" s="8" t="n"/>
      <c r="K185" s="9" t="n"/>
      <c r="L185" s="8" t="n"/>
      <c r="M185" s="9" t="n"/>
      <c r="N185" s="8" t="n"/>
      <c r="O185" s="9" t="n"/>
      <c r="P185" s="12">
        <f>IF(C185="","",C185-SUM(K185,M185,O185))</f>
        <v/>
      </c>
      <c r="Q185" s="13">
        <f>IF(A185="","",IF(P185&lt;=0,"eingelöst",IF(AND(I185&lt;&gt;"",TODAY()&gt;I185),"abgelaufen",IF(P185&lt;C185,"teilweise","offen"))))</f>
        <v/>
      </c>
    </row>
    <row r="186">
      <c r="A186" s="7" t="n"/>
      <c r="B186" s="8" t="n"/>
      <c r="C186" s="9" t="n"/>
      <c r="D186" s="10" t="n"/>
      <c r="E186" s="10" t="n"/>
      <c r="F186" s="10" t="n"/>
      <c r="G186" s="10" t="n"/>
      <c r="H186" s="10" t="n"/>
      <c r="I186" s="11">
        <f>IF(B186="","",DATE(YEAR(B186)+3,12,31))</f>
        <v/>
      </c>
      <c r="J186" s="8" t="n"/>
      <c r="K186" s="9" t="n"/>
      <c r="L186" s="8" t="n"/>
      <c r="M186" s="9" t="n"/>
      <c r="N186" s="8" t="n"/>
      <c r="O186" s="9" t="n"/>
      <c r="P186" s="12">
        <f>IF(C186="","",C186-SUM(K186,M186,O186))</f>
        <v/>
      </c>
      <c r="Q186" s="13">
        <f>IF(A186="","",IF(P186&lt;=0,"eingelöst",IF(AND(I186&lt;&gt;"",TODAY()&gt;I186),"abgelaufen",IF(P186&lt;C186,"teilweise","offen"))))</f>
        <v/>
      </c>
    </row>
    <row r="187">
      <c r="A187" s="7" t="n"/>
      <c r="B187" s="8" t="n"/>
      <c r="C187" s="9" t="n"/>
      <c r="D187" s="10" t="n"/>
      <c r="E187" s="10" t="n"/>
      <c r="F187" s="10" t="n"/>
      <c r="G187" s="10" t="n"/>
      <c r="H187" s="10" t="n"/>
      <c r="I187" s="11">
        <f>IF(B187="","",DATE(YEAR(B187)+3,12,31))</f>
        <v/>
      </c>
      <c r="J187" s="8" t="n"/>
      <c r="K187" s="9" t="n"/>
      <c r="L187" s="8" t="n"/>
      <c r="M187" s="9" t="n"/>
      <c r="N187" s="8" t="n"/>
      <c r="O187" s="9" t="n"/>
      <c r="P187" s="12">
        <f>IF(C187="","",C187-SUM(K187,M187,O187))</f>
        <v/>
      </c>
      <c r="Q187" s="13">
        <f>IF(A187="","",IF(P187&lt;=0,"eingelöst",IF(AND(I187&lt;&gt;"",TODAY()&gt;I187),"abgelaufen",IF(P187&lt;C187,"teilweise","offen"))))</f>
        <v/>
      </c>
    </row>
    <row r="188">
      <c r="A188" s="7" t="n"/>
      <c r="B188" s="8" t="n"/>
      <c r="C188" s="9" t="n"/>
      <c r="D188" s="10" t="n"/>
      <c r="E188" s="10" t="n"/>
      <c r="F188" s="10" t="n"/>
      <c r="G188" s="10" t="n"/>
      <c r="H188" s="10" t="n"/>
      <c r="I188" s="11">
        <f>IF(B188="","",DATE(YEAR(B188)+3,12,31))</f>
        <v/>
      </c>
      <c r="J188" s="8" t="n"/>
      <c r="K188" s="9" t="n"/>
      <c r="L188" s="8" t="n"/>
      <c r="M188" s="9" t="n"/>
      <c r="N188" s="8" t="n"/>
      <c r="O188" s="9" t="n"/>
      <c r="P188" s="12">
        <f>IF(C188="","",C188-SUM(K188,M188,O188))</f>
        <v/>
      </c>
      <c r="Q188" s="13">
        <f>IF(A188="","",IF(P188&lt;=0,"eingelöst",IF(AND(I188&lt;&gt;"",TODAY()&gt;I188),"abgelaufen",IF(P188&lt;C188,"teilweise","offen"))))</f>
        <v/>
      </c>
    </row>
    <row r="189">
      <c r="A189" s="7" t="n"/>
      <c r="B189" s="8" t="n"/>
      <c r="C189" s="9" t="n"/>
      <c r="D189" s="10" t="n"/>
      <c r="E189" s="10" t="n"/>
      <c r="F189" s="10" t="n"/>
      <c r="G189" s="10" t="n"/>
      <c r="H189" s="10" t="n"/>
      <c r="I189" s="11">
        <f>IF(B189="","",DATE(YEAR(B189)+3,12,31))</f>
        <v/>
      </c>
      <c r="J189" s="8" t="n"/>
      <c r="K189" s="9" t="n"/>
      <c r="L189" s="8" t="n"/>
      <c r="M189" s="9" t="n"/>
      <c r="N189" s="8" t="n"/>
      <c r="O189" s="9" t="n"/>
      <c r="P189" s="12">
        <f>IF(C189="","",C189-SUM(K189,M189,O189))</f>
        <v/>
      </c>
      <c r="Q189" s="13">
        <f>IF(A189="","",IF(P189&lt;=0,"eingelöst",IF(AND(I189&lt;&gt;"",TODAY()&gt;I189),"abgelaufen",IF(P189&lt;C189,"teilweise","offen"))))</f>
        <v/>
      </c>
    </row>
    <row r="190">
      <c r="A190" s="7" t="n"/>
      <c r="B190" s="8" t="n"/>
      <c r="C190" s="9" t="n"/>
      <c r="D190" s="10" t="n"/>
      <c r="E190" s="10" t="n"/>
      <c r="F190" s="10" t="n"/>
      <c r="G190" s="10" t="n"/>
      <c r="H190" s="10" t="n"/>
      <c r="I190" s="11">
        <f>IF(B190="","",DATE(YEAR(B190)+3,12,31))</f>
        <v/>
      </c>
      <c r="J190" s="8" t="n"/>
      <c r="K190" s="9" t="n"/>
      <c r="L190" s="8" t="n"/>
      <c r="M190" s="9" t="n"/>
      <c r="N190" s="8" t="n"/>
      <c r="O190" s="9" t="n"/>
      <c r="P190" s="12">
        <f>IF(C190="","",C190-SUM(K190,M190,O190))</f>
        <v/>
      </c>
      <c r="Q190" s="13">
        <f>IF(A190="","",IF(P190&lt;=0,"eingelöst",IF(AND(I190&lt;&gt;"",TODAY()&gt;I190),"abgelaufen",IF(P190&lt;C190,"teilweise","offen"))))</f>
        <v/>
      </c>
    </row>
    <row r="191">
      <c r="A191" s="7" t="n"/>
      <c r="B191" s="8" t="n"/>
      <c r="C191" s="9" t="n"/>
      <c r="D191" s="10" t="n"/>
      <c r="E191" s="10" t="n"/>
      <c r="F191" s="10" t="n"/>
      <c r="G191" s="10" t="n"/>
      <c r="H191" s="10" t="n"/>
      <c r="I191" s="11">
        <f>IF(B191="","",DATE(YEAR(B191)+3,12,31))</f>
        <v/>
      </c>
      <c r="J191" s="8" t="n"/>
      <c r="K191" s="9" t="n"/>
      <c r="L191" s="8" t="n"/>
      <c r="M191" s="9" t="n"/>
      <c r="N191" s="8" t="n"/>
      <c r="O191" s="9" t="n"/>
      <c r="P191" s="12">
        <f>IF(C191="","",C191-SUM(K191,M191,O191))</f>
        <v/>
      </c>
      <c r="Q191" s="13">
        <f>IF(A191="","",IF(P191&lt;=0,"eingelöst",IF(AND(I191&lt;&gt;"",TODAY()&gt;I191),"abgelaufen",IF(P191&lt;C191,"teilweise","offen"))))</f>
        <v/>
      </c>
    </row>
    <row r="192">
      <c r="A192" s="7" t="n"/>
      <c r="B192" s="8" t="n"/>
      <c r="C192" s="9" t="n"/>
      <c r="D192" s="10" t="n"/>
      <c r="E192" s="10" t="n"/>
      <c r="F192" s="10" t="n"/>
      <c r="G192" s="10" t="n"/>
      <c r="H192" s="10" t="n"/>
      <c r="I192" s="11">
        <f>IF(B192="","",DATE(YEAR(B192)+3,12,31))</f>
        <v/>
      </c>
      <c r="J192" s="8" t="n"/>
      <c r="K192" s="9" t="n"/>
      <c r="L192" s="8" t="n"/>
      <c r="M192" s="9" t="n"/>
      <c r="N192" s="8" t="n"/>
      <c r="O192" s="9" t="n"/>
      <c r="P192" s="12">
        <f>IF(C192="","",C192-SUM(K192,M192,O192))</f>
        <v/>
      </c>
      <c r="Q192" s="13">
        <f>IF(A192="","",IF(P192&lt;=0,"eingelöst",IF(AND(I192&lt;&gt;"",TODAY()&gt;I192),"abgelaufen",IF(P192&lt;C192,"teilweise","offen"))))</f>
        <v/>
      </c>
    </row>
    <row r="193">
      <c r="A193" s="7" t="n"/>
      <c r="B193" s="8" t="n"/>
      <c r="C193" s="9" t="n"/>
      <c r="D193" s="10" t="n"/>
      <c r="E193" s="10" t="n"/>
      <c r="F193" s="10" t="n"/>
      <c r="G193" s="10" t="n"/>
      <c r="H193" s="10" t="n"/>
      <c r="I193" s="11">
        <f>IF(B193="","",DATE(YEAR(B193)+3,12,31))</f>
        <v/>
      </c>
      <c r="J193" s="8" t="n"/>
      <c r="K193" s="9" t="n"/>
      <c r="L193" s="8" t="n"/>
      <c r="M193" s="9" t="n"/>
      <c r="N193" s="8" t="n"/>
      <c r="O193" s="9" t="n"/>
      <c r="P193" s="12">
        <f>IF(C193="","",C193-SUM(K193,M193,O193))</f>
        <v/>
      </c>
      <c r="Q193" s="13">
        <f>IF(A193="","",IF(P193&lt;=0,"eingelöst",IF(AND(I193&lt;&gt;"",TODAY()&gt;I193),"abgelaufen",IF(P193&lt;C193,"teilweise","offen"))))</f>
        <v/>
      </c>
    </row>
    <row r="194">
      <c r="A194" s="7" t="n"/>
      <c r="B194" s="8" t="n"/>
      <c r="C194" s="9" t="n"/>
      <c r="D194" s="10" t="n"/>
      <c r="E194" s="10" t="n"/>
      <c r="F194" s="10" t="n"/>
      <c r="G194" s="10" t="n"/>
      <c r="H194" s="10" t="n"/>
      <c r="I194" s="11">
        <f>IF(B194="","",DATE(YEAR(B194)+3,12,31))</f>
        <v/>
      </c>
      <c r="J194" s="8" t="n"/>
      <c r="K194" s="9" t="n"/>
      <c r="L194" s="8" t="n"/>
      <c r="M194" s="9" t="n"/>
      <c r="N194" s="8" t="n"/>
      <c r="O194" s="9" t="n"/>
      <c r="P194" s="12">
        <f>IF(C194="","",C194-SUM(K194,M194,O194))</f>
        <v/>
      </c>
      <c r="Q194" s="13">
        <f>IF(A194="","",IF(P194&lt;=0,"eingelöst",IF(AND(I194&lt;&gt;"",TODAY()&gt;I194),"abgelaufen",IF(P194&lt;C194,"teilweise","offen"))))</f>
        <v/>
      </c>
    </row>
    <row r="195">
      <c r="A195" s="7" t="n"/>
      <c r="B195" s="8" t="n"/>
      <c r="C195" s="9" t="n"/>
      <c r="D195" s="10" t="n"/>
      <c r="E195" s="10" t="n"/>
      <c r="F195" s="10" t="n"/>
      <c r="G195" s="10" t="n"/>
      <c r="H195" s="10" t="n"/>
      <c r="I195" s="11">
        <f>IF(B195="","",DATE(YEAR(B195)+3,12,31))</f>
        <v/>
      </c>
      <c r="J195" s="8" t="n"/>
      <c r="K195" s="9" t="n"/>
      <c r="L195" s="8" t="n"/>
      <c r="M195" s="9" t="n"/>
      <c r="N195" s="8" t="n"/>
      <c r="O195" s="9" t="n"/>
      <c r="P195" s="12">
        <f>IF(C195="","",C195-SUM(K195,M195,O195))</f>
        <v/>
      </c>
      <c r="Q195" s="13">
        <f>IF(A195="","",IF(P195&lt;=0,"eingelöst",IF(AND(I195&lt;&gt;"",TODAY()&gt;I195),"abgelaufen",IF(P195&lt;C195,"teilweise","offen"))))</f>
        <v/>
      </c>
    </row>
    <row r="196">
      <c r="A196" s="7" t="n"/>
      <c r="B196" s="8" t="n"/>
      <c r="C196" s="9" t="n"/>
      <c r="D196" s="10" t="n"/>
      <c r="E196" s="10" t="n"/>
      <c r="F196" s="10" t="n"/>
      <c r="G196" s="10" t="n"/>
      <c r="H196" s="10" t="n"/>
      <c r="I196" s="11">
        <f>IF(B196="","",DATE(YEAR(B196)+3,12,31))</f>
        <v/>
      </c>
      <c r="J196" s="8" t="n"/>
      <c r="K196" s="9" t="n"/>
      <c r="L196" s="8" t="n"/>
      <c r="M196" s="9" t="n"/>
      <c r="N196" s="8" t="n"/>
      <c r="O196" s="9" t="n"/>
      <c r="P196" s="12">
        <f>IF(C196="","",C196-SUM(K196,M196,O196))</f>
        <v/>
      </c>
      <c r="Q196" s="13">
        <f>IF(A196="","",IF(P196&lt;=0,"eingelöst",IF(AND(I196&lt;&gt;"",TODAY()&gt;I196),"abgelaufen",IF(P196&lt;C196,"teilweise","offen"))))</f>
        <v/>
      </c>
    </row>
    <row r="197">
      <c r="A197" s="7" t="n"/>
      <c r="B197" s="8" t="n"/>
      <c r="C197" s="9" t="n"/>
      <c r="D197" s="10" t="n"/>
      <c r="E197" s="10" t="n"/>
      <c r="F197" s="10" t="n"/>
      <c r="G197" s="10" t="n"/>
      <c r="H197" s="10" t="n"/>
      <c r="I197" s="11">
        <f>IF(B197="","",DATE(YEAR(B197)+3,12,31))</f>
        <v/>
      </c>
      <c r="J197" s="8" t="n"/>
      <c r="K197" s="9" t="n"/>
      <c r="L197" s="8" t="n"/>
      <c r="M197" s="9" t="n"/>
      <c r="N197" s="8" t="n"/>
      <c r="O197" s="9" t="n"/>
      <c r="P197" s="12">
        <f>IF(C197="","",C197-SUM(K197,M197,O197))</f>
        <v/>
      </c>
      <c r="Q197" s="13">
        <f>IF(A197="","",IF(P197&lt;=0,"eingelöst",IF(AND(I197&lt;&gt;"",TODAY()&gt;I197),"abgelaufen",IF(P197&lt;C197,"teilweise","offen"))))</f>
        <v/>
      </c>
    </row>
    <row r="198">
      <c r="A198" s="7" t="n"/>
      <c r="B198" s="8" t="n"/>
      <c r="C198" s="9" t="n"/>
      <c r="D198" s="10" t="n"/>
      <c r="E198" s="10" t="n"/>
      <c r="F198" s="10" t="n"/>
      <c r="G198" s="10" t="n"/>
      <c r="H198" s="10" t="n"/>
      <c r="I198" s="11">
        <f>IF(B198="","",DATE(YEAR(B198)+3,12,31))</f>
        <v/>
      </c>
      <c r="J198" s="8" t="n"/>
      <c r="K198" s="9" t="n"/>
      <c r="L198" s="8" t="n"/>
      <c r="M198" s="9" t="n"/>
      <c r="N198" s="8" t="n"/>
      <c r="O198" s="9" t="n"/>
      <c r="P198" s="12">
        <f>IF(C198="","",C198-SUM(K198,M198,O198))</f>
        <v/>
      </c>
      <c r="Q198" s="13">
        <f>IF(A198="","",IF(P198&lt;=0,"eingelöst",IF(AND(I198&lt;&gt;"",TODAY()&gt;I198),"abgelaufen",IF(P198&lt;C198,"teilweise","offen"))))</f>
        <v/>
      </c>
    </row>
    <row r="199">
      <c r="A199" s="7" t="n"/>
      <c r="B199" s="8" t="n"/>
      <c r="C199" s="9" t="n"/>
      <c r="D199" s="10" t="n"/>
      <c r="E199" s="10" t="n"/>
      <c r="F199" s="10" t="n"/>
      <c r="G199" s="10" t="n"/>
      <c r="H199" s="10" t="n"/>
      <c r="I199" s="11">
        <f>IF(B199="","",DATE(YEAR(B199)+3,12,31))</f>
        <v/>
      </c>
      <c r="J199" s="8" t="n"/>
      <c r="K199" s="9" t="n"/>
      <c r="L199" s="8" t="n"/>
      <c r="M199" s="9" t="n"/>
      <c r="N199" s="8" t="n"/>
      <c r="O199" s="9" t="n"/>
      <c r="P199" s="12">
        <f>IF(C199="","",C199-SUM(K199,M199,O199))</f>
        <v/>
      </c>
      <c r="Q199" s="13">
        <f>IF(A199="","",IF(P199&lt;=0,"eingelöst",IF(AND(I199&lt;&gt;"",TODAY()&gt;I199),"abgelaufen",IF(P199&lt;C199,"teilweise","offen"))))</f>
        <v/>
      </c>
    </row>
    <row r="200">
      <c r="A200" s="7" t="n"/>
      <c r="B200" s="8" t="n"/>
      <c r="C200" s="9" t="n"/>
      <c r="D200" s="10" t="n"/>
      <c r="E200" s="10" t="n"/>
      <c r="F200" s="10" t="n"/>
      <c r="G200" s="10" t="n"/>
      <c r="H200" s="10" t="n"/>
      <c r="I200" s="11">
        <f>IF(B200="","",DATE(YEAR(B200)+3,12,31))</f>
        <v/>
      </c>
      <c r="J200" s="8" t="n"/>
      <c r="K200" s="9" t="n"/>
      <c r="L200" s="8" t="n"/>
      <c r="M200" s="9" t="n"/>
      <c r="N200" s="8" t="n"/>
      <c r="O200" s="9" t="n"/>
      <c r="P200" s="12">
        <f>IF(C200="","",C200-SUM(K200,M200,O200))</f>
        <v/>
      </c>
      <c r="Q200" s="13">
        <f>IF(A200="","",IF(P200&lt;=0,"eingelöst",IF(AND(I200&lt;&gt;"",TODAY()&gt;I200),"abgelaufen",IF(P200&lt;C200,"teilweise","offen"))))</f>
        <v/>
      </c>
    </row>
    <row r="201">
      <c r="A201" s="7" t="n"/>
      <c r="B201" s="8" t="n"/>
      <c r="C201" s="9" t="n"/>
      <c r="D201" s="10" t="n"/>
      <c r="E201" s="10" t="n"/>
      <c r="F201" s="10" t="n"/>
      <c r="G201" s="10" t="n"/>
      <c r="H201" s="10" t="n"/>
      <c r="I201" s="11">
        <f>IF(B201="","",DATE(YEAR(B201)+3,12,31))</f>
        <v/>
      </c>
      <c r="J201" s="8" t="n"/>
      <c r="K201" s="9" t="n"/>
      <c r="L201" s="8" t="n"/>
      <c r="M201" s="9" t="n"/>
      <c r="N201" s="8" t="n"/>
      <c r="O201" s="9" t="n"/>
      <c r="P201" s="12">
        <f>IF(C201="","",C201-SUM(K201,M201,O201))</f>
        <v/>
      </c>
      <c r="Q201" s="13">
        <f>IF(A201="","",IF(P201&lt;=0,"eingelöst",IF(AND(I201&lt;&gt;"",TODAY()&gt;I201),"abgelaufen",IF(P201&lt;C201,"teilweise","offen"))))</f>
        <v/>
      </c>
    </row>
    <row r="202">
      <c r="A202" s="7" t="n"/>
      <c r="B202" s="8" t="n"/>
      <c r="C202" s="9" t="n"/>
      <c r="D202" s="10" t="n"/>
      <c r="E202" s="10" t="n"/>
      <c r="F202" s="10" t="n"/>
      <c r="G202" s="10" t="n"/>
      <c r="H202" s="10" t="n"/>
      <c r="I202" s="11">
        <f>IF(B202="","",DATE(YEAR(B202)+3,12,31))</f>
        <v/>
      </c>
      <c r="J202" s="8" t="n"/>
      <c r="K202" s="9" t="n"/>
      <c r="L202" s="8" t="n"/>
      <c r="M202" s="9" t="n"/>
      <c r="N202" s="8" t="n"/>
      <c r="O202" s="9" t="n"/>
      <c r="P202" s="12">
        <f>IF(C202="","",C202-SUM(K202,M202,O202))</f>
        <v/>
      </c>
      <c r="Q202" s="13">
        <f>IF(A202="","",IF(P202&lt;=0,"eingelöst",IF(AND(I202&lt;&gt;"",TODAY()&gt;I202),"abgelaufen",IF(P202&lt;C202,"teilweise","offen"))))</f>
        <v/>
      </c>
    </row>
    <row r="203">
      <c r="A203" s="7" t="n"/>
      <c r="B203" s="8" t="n"/>
      <c r="C203" s="9" t="n"/>
      <c r="D203" s="10" t="n"/>
      <c r="E203" s="10" t="n"/>
      <c r="F203" s="10" t="n"/>
      <c r="G203" s="10" t="n"/>
      <c r="H203" s="10" t="n"/>
      <c r="I203" s="11">
        <f>IF(B203="","",DATE(YEAR(B203)+3,12,31))</f>
        <v/>
      </c>
      <c r="J203" s="8" t="n"/>
      <c r="K203" s="9" t="n"/>
      <c r="L203" s="8" t="n"/>
      <c r="M203" s="9" t="n"/>
      <c r="N203" s="8" t="n"/>
      <c r="O203" s="9" t="n"/>
      <c r="P203" s="12">
        <f>IF(C203="","",C203-SUM(K203,M203,O203))</f>
        <v/>
      </c>
      <c r="Q203" s="13">
        <f>IF(A203="","",IF(P203&lt;=0,"eingelöst",IF(AND(I203&lt;&gt;"",TODAY()&gt;I203),"abgelaufen",IF(P203&lt;C203,"teilweise","offen"))))</f>
        <v/>
      </c>
    </row>
    <row r="204">
      <c r="A204" s="7" t="n"/>
      <c r="B204" s="8" t="n"/>
      <c r="C204" s="9" t="n"/>
      <c r="D204" s="10" t="n"/>
      <c r="E204" s="10" t="n"/>
      <c r="F204" s="10" t="n"/>
      <c r="G204" s="10" t="n"/>
      <c r="H204" s="10" t="n"/>
      <c r="I204" s="11">
        <f>IF(B204="","",DATE(YEAR(B204)+3,12,31))</f>
        <v/>
      </c>
      <c r="J204" s="8" t="n"/>
      <c r="K204" s="9" t="n"/>
      <c r="L204" s="8" t="n"/>
      <c r="M204" s="9" t="n"/>
      <c r="N204" s="8" t="n"/>
      <c r="O204" s="9" t="n"/>
      <c r="P204" s="12">
        <f>IF(C204="","",C204-SUM(K204,M204,O204))</f>
        <v/>
      </c>
      <c r="Q204" s="13">
        <f>IF(A204="","",IF(P204&lt;=0,"eingelöst",IF(AND(I204&lt;&gt;"",TODAY()&gt;I204),"abgelaufen",IF(P204&lt;C204,"teilweise","offen"))))</f>
        <v/>
      </c>
    </row>
    <row r="205">
      <c r="A205" s="7" t="n"/>
      <c r="B205" s="8" t="n"/>
      <c r="C205" s="9" t="n"/>
      <c r="D205" s="10" t="n"/>
      <c r="E205" s="10" t="n"/>
      <c r="F205" s="10" t="n"/>
      <c r="G205" s="10" t="n"/>
      <c r="H205" s="10" t="n"/>
      <c r="I205" s="11">
        <f>IF(B205="","",DATE(YEAR(B205)+3,12,31))</f>
        <v/>
      </c>
      <c r="J205" s="8" t="n"/>
      <c r="K205" s="9" t="n"/>
      <c r="L205" s="8" t="n"/>
      <c r="M205" s="9" t="n"/>
      <c r="N205" s="8" t="n"/>
      <c r="O205" s="9" t="n"/>
      <c r="P205" s="12">
        <f>IF(C205="","",C205-SUM(K205,M205,O205))</f>
        <v/>
      </c>
      <c r="Q205" s="13">
        <f>IF(A205="","",IF(P205&lt;=0,"eingelöst",IF(AND(I205&lt;&gt;"",TODAY()&gt;I205),"abgelaufen",IF(P205&lt;C205,"teilweise","offen"))))</f>
        <v/>
      </c>
    </row>
    <row r="206">
      <c r="A206" s="7" t="n"/>
      <c r="B206" s="8" t="n"/>
      <c r="C206" s="9" t="n"/>
      <c r="D206" s="10" t="n"/>
      <c r="E206" s="10" t="n"/>
      <c r="F206" s="10" t="n"/>
      <c r="G206" s="10" t="n"/>
      <c r="H206" s="10" t="n"/>
      <c r="I206" s="11">
        <f>IF(B206="","",DATE(YEAR(B206)+3,12,31))</f>
        <v/>
      </c>
      <c r="J206" s="8" t="n"/>
      <c r="K206" s="9" t="n"/>
      <c r="L206" s="8" t="n"/>
      <c r="M206" s="9" t="n"/>
      <c r="N206" s="8" t="n"/>
      <c r="O206" s="9" t="n"/>
      <c r="P206" s="12">
        <f>IF(C206="","",C206-SUM(K206,M206,O206))</f>
        <v/>
      </c>
      <c r="Q206" s="13">
        <f>IF(A206="","",IF(P206&lt;=0,"eingelöst",IF(AND(I206&lt;&gt;"",TODAY()&gt;I206),"abgelaufen",IF(P206&lt;C206,"teilweise","offen"))))</f>
        <v/>
      </c>
    </row>
    <row r="207">
      <c r="A207" s="7" t="n"/>
      <c r="B207" s="8" t="n"/>
      <c r="C207" s="9" t="n"/>
      <c r="D207" s="10" t="n"/>
      <c r="E207" s="10" t="n"/>
      <c r="F207" s="10" t="n"/>
      <c r="G207" s="10" t="n"/>
      <c r="H207" s="10" t="n"/>
      <c r="I207" s="11">
        <f>IF(B207="","",DATE(YEAR(B207)+3,12,31))</f>
        <v/>
      </c>
      <c r="J207" s="8" t="n"/>
      <c r="K207" s="9" t="n"/>
      <c r="L207" s="8" t="n"/>
      <c r="M207" s="9" t="n"/>
      <c r="N207" s="8" t="n"/>
      <c r="O207" s="9" t="n"/>
      <c r="P207" s="12">
        <f>IF(C207="","",C207-SUM(K207,M207,O207))</f>
        <v/>
      </c>
      <c r="Q207" s="13">
        <f>IF(A207="","",IF(P207&lt;=0,"eingelöst",IF(AND(I207&lt;&gt;"",TODAY()&gt;I207),"abgelaufen",IF(P207&lt;C207,"teilweise","offen"))))</f>
        <v/>
      </c>
    </row>
    <row r="208">
      <c r="A208" s="7" t="n"/>
      <c r="B208" s="8" t="n"/>
      <c r="C208" s="9" t="n"/>
      <c r="D208" s="10" t="n"/>
      <c r="E208" s="10" t="n"/>
      <c r="F208" s="10" t="n"/>
      <c r="G208" s="10" t="n"/>
      <c r="H208" s="10" t="n"/>
      <c r="I208" s="11">
        <f>IF(B208="","",DATE(YEAR(B208)+3,12,31))</f>
        <v/>
      </c>
      <c r="J208" s="8" t="n"/>
      <c r="K208" s="9" t="n"/>
      <c r="L208" s="8" t="n"/>
      <c r="M208" s="9" t="n"/>
      <c r="N208" s="8" t="n"/>
      <c r="O208" s="9" t="n"/>
      <c r="P208" s="12">
        <f>IF(C208="","",C208-SUM(K208,M208,O208))</f>
        <v/>
      </c>
      <c r="Q208" s="13">
        <f>IF(A208="","",IF(P208&lt;=0,"eingelöst",IF(AND(I208&lt;&gt;"",TODAY()&gt;I208),"abgelaufen",IF(P208&lt;C208,"teilweise","offen"))))</f>
        <v/>
      </c>
    </row>
    <row r="209">
      <c r="A209" s="7" t="n"/>
      <c r="B209" s="8" t="n"/>
      <c r="C209" s="9" t="n"/>
      <c r="D209" s="10" t="n"/>
      <c r="E209" s="10" t="n"/>
      <c r="F209" s="10" t="n"/>
      <c r="G209" s="10" t="n"/>
      <c r="H209" s="10" t="n"/>
      <c r="I209" s="11">
        <f>IF(B209="","",DATE(YEAR(B209)+3,12,31))</f>
        <v/>
      </c>
      <c r="J209" s="8" t="n"/>
      <c r="K209" s="9" t="n"/>
      <c r="L209" s="8" t="n"/>
      <c r="M209" s="9" t="n"/>
      <c r="N209" s="8" t="n"/>
      <c r="O209" s="9" t="n"/>
      <c r="P209" s="12">
        <f>IF(C209="","",C209-SUM(K209,M209,O209))</f>
        <v/>
      </c>
      <c r="Q209" s="13">
        <f>IF(A209="","",IF(P209&lt;=0,"eingelöst",IF(AND(I209&lt;&gt;"",TODAY()&gt;I209),"abgelaufen",IF(P209&lt;C209,"teilweise","offen"))))</f>
        <v/>
      </c>
    </row>
    <row r="210">
      <c r="A210" s="7" t="n"/>
      <c r="B210" s="8" t="n"/>
      <c r="C210" s="9" t="n"/>
      <c r="D210" s="10" t="n"/>
      <c r="E210" s="10" t="n"/>
      <c r="F210" s="10" t="n"/>
      <c r="G210" s="10" t="n"/>
      <c r="H210" s="10" t="n"/>
      <c r="I210" s="11">
        <f>IF(B210="","",DATE(YEAR(B210)+3,12,31))</f>
        <v/>
      </c>
      <c r="J210" s="8" t="n"/>
      <c r="K210" s="9" t="n"/>
      <c r="L210" s="8" t="n"/>
      <c r="M210" s="9" t="n"/>
      <c r="N210" s="8" t="n"/>
      <c r="O210" s="9" t="n"/>
      <c r="P210" s="12">
        <f>IF(C210="","",C210-SUM(K210,M210,O210))</f>
        <v/>
      </c>
      <c r="Q210" s="13">
        <f>IF(A210="","",IF(P210&lt;=0,"eingelöst",IF(AND(I210&lt;&gt;"",TODAY()&gt;I210),"abgelaufen",IF(P210&lt;C210,"teilweise","offen"))))</f>
        <v/>
      </c>
    </row>
    <row r="211">
      <c r="A211" s="7" t="n"/>
      <c r="B211" s="8" t="n"/>
      <c r="C211" s="9" t="n"/>
      <c r="D211" s="10" t="n"/>
      <c r="E211" s="10" t="n"/>
      <c r="F211" s="10" t="n"/>
      <c r="G211" s="10" t="n"/>
      <c r="H211" s="10" t="n"/>
      <c r="I211" s="11">
        <f>IF(B211="","",DATE(YEAR(B211)+3,12,31))</f>
        <v/>
      </c>
      <c r="J211" s="8" t="n"/>
      <c r="K211" s="9" t="n"/>
      <c r="L211" s="8" t="n"/>
      <c r="M211" s="9" t="n"/>
      <c r="N211" s="8" t="n"/>
      <c r="O211" s="9" t="n"/>
      <c r="P211" s="12">
        <f>IF(C211="","",C211-SUM(K211,M211,O211))</f>
        <v/>
      </c>
      <c r="Q211" s="13">
        <f>IF(A211="","",IF(P211&lt;=0,"eingelöst",IF(AND(I211&lt;&gt;"",TODAY()&gt;I211),"abgelaufen",IF(P211&lt;C211,"teilweise","offen"))))</f>
        <v/>
      </c>
    </row>
    <row r="212">
      <c r="A212" s="7" t="n"/>
      <c r="B212" s="8" t="n"/>
      <c r="C212" s="9" t="n"/>
      <c r="D212" s="10" t="n"/>
      <c r="E212" s="10" t="n"/>
      <c r="F212" s="10" t="n"/>
      <c r="G212" s="10" t="n"/>
      <c r="H212" s="10" t="n"/>
      <c r="I212" s="11">
        <f>IF(B212="","",DATE(YEAR(B212)+3,12,31))</f>
        <v/>
      </c>
      <c r="J212" s="8" t="n"/>
      <c r="K212" s="9" t="n"/>
      <c r="L212" s="8" t="n"/>
      <c r="M212" s="9" t="n"/>
      <c r="N212" s="8" t="n"/>
      <c r="O212" s="9" t="n"/>
      <c r="P212" s="12">
        <f>IF(C212="","",C212-SUM(K212,M212,O212))</f>
        <v/>
      </c>
      <c r="Q212" s="13">
        <f>IF(A212="","",IF(P212&lt;=0,"eingelöst",IF(AND(I212&lt;&gt;"",TODAY()&gt;I212),"abgelaufen",IF(P212&lt;C212,"teilweise","offen"))))</f>
        <v/>
      </c>
    </row>
    <row r="213">
      <c r="A213" s="7" t="n"/>
      <c r="B213" s="8" t="n"/>
      <c r="C213" s="9" t="n"/>
      <c r="D213" s="10" t="n"/>
      <c r="E213" s="10" t="n"/>
      <c r="F213" s="10" t="n"/>
      <c r="G213" s="10" t="n"/>
      <c r="H213" s="10" t="n"/>
      <c r="I213" s="11">
        <f>IF(B213="","",DATE(YEAR(B213)+3,12,31))</f>
        <v/>
      </c>
      <c r="J213" s="8" t="n"/>
      <c r="K213" s="9" t="n"/>
      <c r="L213" s="8" t="n"/>
      <c r="M213" s="9" t="n"/>
      <c r="N213" s="8" t="n"/>
      <c r="O213" s="9" t="n"/>
      <c r="P213" s="12">
        <f>IF(C213="","",C213-SUM(K213,M213,O213))</f>
        <v/>
      </c>
      <c r="Q213" s="13">
        <f>IF(A213="","",IF(P213&lt;=0,"eingelöst",IF(AND(I213&lt;&gt;"",TODAY()&gt;I213),"abgelaufen",IF(P213&lt;C213,"teilweise","offen"))))</f>
        <v/>
      </c>
    </row>
    <row r="214">
      <c r="A214" s="7" t="n"/>
      <c r="B214" s="8" t="n"/>
      <c r="C214" s="9" t="n"/>
      <c r="D214" s="10" t="n"/>
      <c r="E214" s="10" t="n"/>
      <c r="F214" s="10" t="n"/>
      <c r="G214" s="10" t="n"/>
      <c r="H214" s="10" t="n"/>
      <c r="I214" s="11">
        <f>IF(B214="","",DATE(YEAR(B214)+3,12,31))</f>
        <v/>
      </c>
      <c r="J214" s="8" t="n"/>
      <c r="K214" s="9" t="n"/>
      <c r="L214" s="8" t="n"/>
      <c r="M214" s="9" t="n"/>
      <c r="N214" s="8" t="n"/>
      <c r="O214" s="9" t="n"/>
      <c r="P214" s="12">
        <f>IF(C214="","",C214-SUM(K214,M214,O214))</f>
        <v/>
      </c>
      <c r="Q214" s="13">
        <f>IF(A214="","",IF(P214&lt;=0,"eingelöst",IF(AND(I214&lt;&gt;"",TODAY()&gt;I214),"abgelaufen",IF(P214&lt;C214,"teilweise","offen"))))</f>
        <v/>
      </c>
    </row>
    <row r="215">
      <c r="A215" s="7" t="n"/>
      <c r="B215" s="8" t="n"/>
      <c r="C215" s="9" t="n"/>
      <c r="D215" s="10" t="n"/>
      <c r="E215" s="10" t="n"/>
      <c r="F215" s="10" t="n"/>
      <c r="G215" s="10" t="n"/>
      <c r="H215" s="10" t="n"/>
      <c r="I215" s="11">
        <f>IF(B215="","",DATE(YEAR(B215)+3,12,31))</f>
        <v/>
      </c>
      <c r="J215" s="8" t="n"/>
      <c r="K215" s="9" t="n"/>
      <c r="L215" s="8" t="n"/>
      <c r="M215" s="9" t="n"/>
      <c r="N215" s="8" t="n"/>
      <c r="O215" s="9" t="n"/>
      <c r="P215" s="12">
        <f>IF(C215="","",C215-SUM(K215,M215,O215))</f>
        <v/>
      </c>
      <c r="Q215" s="13">
        <f>IF(A215="","",IF(P215&lt;=0,"eingelöst",IF(AND(I215&lt;&gt;"",TODAY()&gt;I215),"abgelaufen",IF(P215&lt;C215,"teilweise","offen"))))</f>
        <v/>
      </c>
    </row>
    <row r="216">
      <c r="A216" s="7" t="n"/>
      <c r="B216" s="8" t="n"/>
      <c r="C216" s="9" t="n"/>
      <c r="D216" s="10" t="n"/>
      <c r="E216" s="10" t="n"/>
      <c r="F216" s="10" t="n"/>
      <c r="G216" s="10" t="n"/>
      <c r="H216" s="10" t="n"/>
      <c r="I216" s="11">
        <f>IF(B216="","",DATE(YEAR(B216)+3,12,31))</f>
        <v/>
      </c>
      <c r="J216" s="8" t="n"/>
      <c r="K216" s="9" t="n"/>
      <c r="L216" s="8" t="n"/>
      <c r="M216" s="9" t="n"/>
      <c r="N216" s="8" t="n"/>
      <c r="O216" s="9" t="n"/>
      <c r="P216" s="12">
        <f>IF(C216="","",C216-SUM(K216,M216,O216))</f>
        <v/>
      </c>
      <c r="Q216" s="13">
        <f>IF(A216="","",IF(P216&lt;=0,"eingelöst",IF(AND(I216&lt;&gt;"",TODAY()&gt;I216),"abgelaufen",IF(P216&lt;C216,"teilweise","offen"))))</f>
        <v/>
      </c>
    </row>
    <row r="217">
      <c r="A217" s="7" t="n"/>
      <c r="B217" s="8" t="n"/>
      <c r="C217" s="9" t="n"/>
      <c r="D217" s="10" t="n"/>
      <c r="E217" s="10" t="n"/>
      <c r="F217" s="10" t="n"/>
      <c r="G217" s="10" t="n"/>
      <c r="H217" s="10" t="n"/>
      <c r="I217" s="11">
        <f>IF(B217="","",DATE(YEAR(B217)+3,12,31))</f>
        <v/>
      </c>
      <c r="J217" s="8" t="n"/>
      <c r="K217" s="9" t="n"/>
      <c r="L217" s="8" t="n"/>
      <c r="M217" s="9" t="n"/>
      <c r="N217" s="8" t="n"/>
      <c r="O217" s="9" t="n"/>
      <c r="P217" s="12">
        <f>IF(C217="","",C217-SUM(K217,M217,O217))</f>
        <v/>
      </c>
      <c r="Q217" s="13">
        <f>IF(A217="","",IF(P217&lt;=0,"eingelöst",IF(AND(I217&lt;&gt;"",TODAY()&gt;I217),"abgelaufen",IF(P217&lt;C217,"teilweise","offen"))))</f>
        <v/>
      </c>
    </row>
    <row r="218">
      <c r="A218" s="7" t="n"/>
      <c r="B218" s="8" t="n"/>
      <c r="C218" s="9" t="n"/>
      <c r="D218" s="10" t="n"/>
      <c r="E218" s="10" t="n"/>
      <c r="F218" s="10" t="n"/>
      <c r="G218" s="10" t="n"/>
      <c r="H218" s="10" t="n"/>
      <c r="I218" s="11">
        <f>IF(B218="","",DATE(YEAR(B218)+3,12,31))</f>
        <v/>
      </c>
      <c r="J218" s="8" t="n"/>
      <c r="K218" s="9" t="n"/>
      <c r="L218" s="8" t="n"/>
      <c r="M218" s="9" t="n"/>
      <c r="N218" s="8" t="n"/>
      <c r="O218" s="9" t="n"/>
      <c r="P218" s="12">
        <f>IF(C218="","",C218-SUM(K218,M218,O218))</f>
        <v/>
      </c>
      <c r="Q218" s="13">
        <f>IF(A218="","",IF(P218&lt;=0,"eingelöst",IF(AND(I218&lt;&gt;"",TODAY()&gt;I218),"abgelaufen",IF(P218&lt;C218,"teilweise","offen"))))</f>
        <v/>
      </c>
    </row>
    <row r="219">
      <c r="A219" s="7" t="n"/>
      <c r="B219" s="8" t="n"/>
      <c r="C219" s="9" t="n"/>
      <c r="D219" s="10" t="n"/>
      <c r="E219" s="10" t="n"/>
      <c r="F219" s="10" t="n"/>
      <c r="G219" s="10" t="n"/>
      <c r="H219" s="10" t="n"/>
      <c r="I219" s="11">
        <f>IF(B219="","",DATE(YEAR(B219)+3,12,31))</f>
        <v/>
      </c>
      <c r="J219" s="8" t="n"/>
      <c r="K219" s="9" t="n"/>
      <c r="L219" s="8" t="n"/>
      <c r="M219" s="9" t="n"/>
      <c r="N219" s="8" t="n"/>
      <c r="O219" s="9" t="n"/>
      <c r="P219" s="12">
        <f>IF(C219="","",C219-SUM(K219,M219,O219))</f>
        <v/>
      </c>
      <c r="Q219" s="13">
        <f>IF(A219="","",IF(P219&lt;=0,"eingelöst",IF(AND(I219&lt;&gt;"",TODAY()&gt;I219),"abgelaufen",IF(P219&lt;C219,"teilweise","offen"))))</f>
        <v/>
      </c>
    </row>
    <row r="220">
      <c r="A220" s="7" t="n"/>
      <c r="B220" s="8" t="n"/>
      <c r="C220" s="9" t="n"/>
      <c r="D220" s="10" t="n"/>
      <c r="E220" s="10" t="n"/>
      <c r="F220" s="10" t="n"/>
      <c r="G220" s="10" t="n"/>
      <c r="H220" s="10" t="n"/>
      <c r="I220" s="11">
        <f>IF(B220="","",DATE(YEAR(B220)+3,12,31))</f>
        <v/>
      </c>
      <c r="J220" s="8" t="n"/>
      <c r="K220" s="9" t="n"/>
      <c r="L220" s="8" t="n"/>
      <c r="M220" s="9" t="n"/>
      <c r="N220" s="8" t="n"/>
      <c r="O220" s="9" t="n"/>
      <c r="P220" s="12">
        <f>IF(C220="","",C220-SUM(K220,M220,O220))</f>
        <v/>
      </c>
      <c r="Q220" s="13">
        <f>IF(A220="","",IF(P220&lt;=0,"eingelöst",IF(AND(I220&lt;&gt;"",TODAY()&gt;I220),"abgelaufen",IF(P220&lt;C220,"teilweise","offen"))))</f>
        <v/>
      </c>
    </row>
    <row r="221">
      <c r="A221" s="7" t="n"/>
      <c r="B221" s="8" t="n"/>
      <c r="C221" s="9" t="n"/>
      <c r="D221" s="10" t="n"/>
      <c r="E221" s="10" t="n"/>
      <c r="F221" s="10" t="n"/>
      <c r="G221" s="10" t="n"/>
      <c r="H221" s="10" t="n"/>
      <c r="I221" s="11">
        <f>IF(B221="","",DATE(YEAR(B221)+3,12,31))</f>
        <v/>
      </c>
      <c r="J221" s="8" t="n"/>
      <c r="K221" s="9" t="n"/>
      <c r="L221" s="8" t="n"/>
      <c r="M221" s="9" t="n"/>
      <c r="N221" s="8" t="n"/>
      <c r="O221" s="9" t="n"/>
      <c r="P221" s="12">
        <f>IF(C221="","",C221-SUM(K221,M221,O221))</f>
        <v/>
      </c>
      <c r="Q221" s="13">
        <f>IF(A221="","",IF(P221&lt;=0,"eingelöst",IF(AND(I221&lt;&gt;"",TODAY()&gt;I221),"abgelaufen",IF(P221&lt;C221,"teilweise","offen"))))</f>
        <v/>
      </c>
    </row>
    <row r="222">
      <c r="A222" s="7" t="n"/>
      <c r="B222" s="8" t="n"/>
      <c r="C222" s="9" t="n"/>
      <c r="D222" s="10" t="n"/>
      <c r="E222" s="10" t="n"/>
      <c r="F222" s="10" t="n"/>
      <c r="G222" s="10" t="n"/>
      <c r="H222" s="10" t="n"/>
      <c r="I222" s="11">
        <f>IF(B222="","",DATE(YEAR(B222)+3,12,31))</f>
        <v/>
      </c>
      <c r="J222" s="8" t="n"/>
      <c r="K222" s="9" t="n"/>
      <c r="L222" s="8" t="n"/>
      <c r="M222" s="9" t="n"/>
      <c r="N222" s="8" t="n"/>
      <c r="O222" s="9" t="n"/>
      <c r="P222" s="12">
        <f>IF(C222="","",C222-SUM(K222,M222,O222))</f>
        <v/>
      </c>
      <c r="Q222" s="13">
        <f>IF(A222="","",IF(P222&lt;=0,"eingelöst",IF(AND(I222&lt;&gt;"",TODAY()&gt;I222),"abgelaufen",IF(P222&lt;C222,"teilweise","offen"))))</f>
        <v/>
      </c>
    </row>
    <row r="223">
      <c r="A223" s="7" t="n"/>
      <c r="B223" s="8" t="n"/>
      <c r="C223" s="9" t="n"/>
      <c r="D223" s="10" t="n"/>
      <c r="E223" s="10" t="n"/>
      <c r="F223" s="10" t="n"/>
      <c r="G223" s="10" t="n"/>
      <c r="H223" s="10" t="n"/>
      <c r="I223" s="11">
        <f>IF(B223="","",DATE(YEAR(B223)+3,12,31))</f>
        <v/>
      </c>
      <c r="J223" s="8" t="n"/>
      <c r="K223" s="9" t="n"/>
      <c r="L223" s="8" t="n"/>
      <c r="M223" s="9" t="n"/>
      <c r="N223" s="8" t="n"/>
      <c r="O223" s="9" t="n"/>
      <c r="P223" s="12">
        <f>IF(C223="","",C223-SUM(K223,M223,O223))</f>
        <v/>
      </c>
      <c r="Q223" s="13">
        <f>IF(A223="","",IF(P223&lt;=0,"eingelöst",IF(AND(I223&lt;&gt;"",TODAY()&gt;I223),"abgelaufen",IF(P223&lt;C223,"teilweise","offen"))))</f>
        <v/>
      </c>
    </row>
    <row r="224">
      <c r="A224" s="7" t="n"/>
      <c r="B224" s="8" t="n"/>
      <c r="C224" s="9" t="n"/>
      <c r="D224" s="10" t="n"/>
      <c r="E224" s="10" t="n"/>
      <c r="F224" s="10" t="n"/>
      <c r="G224" s="10" t="n"/>
      <c r="H224" s="10" t="n"/>
      <c r="I224" s="11">
        <f>IF(B224="","",DATE(YEAR(B224)+3,12,31))</f>
        <v/>
      </c>
      <c r="J224" s="8" t="n"/>
      <c r="K224" s="9" t="n"/>
      <c r="L224" s="8" t="n"/>
      <c r="M224" s="9" t="n"/>
      <c r="N224" s="8" t="n"/>
      <c r="O224" s="9" t="n"/>
      <c r="P224" s="12">
        <f>IF(C224="","",C224-SUM(K224,M224,O224))</f>
        <v/>
      </c>
      <c r="Q224" s="13">
        <f>IF(A224="","",IF(P224&lt;=0,"eingelöst",IF(AND(I224&lt;&gt;"",TODAY()&gt;I224),"abgelaufen",IF(P224&lt;C224,"teilweise","offen"))))</f>
        <v/>
      </c>
    </row>
    <row r="225">
      <c r="A225" s="7" t="n"/>
      <c r="B225" s="8" t="n"/>
      <c r="C225" s="9" t="n"/>
      <c r="D225" s="10" t="n"/>
      <c r="E225" s="10" t="n"/>
      <c r="F225" s="10" t="n"/>
      <c r="G225" s="10" t="n"/>
      <c r="H225" s="10" t="n"/>
      <c r="I225" s="11">
        <f>IF(B225="","",DATE(YEAR(B225)+3,12,31))</f>
        <v/>
      </c>
      <c r="J225" s="8" t="n"/>
      <c r="K225" s="9" t="n"/>
      <c r="L225" s="8" t="n"/>
      <c r="M225" s="9" t="n"/>
      <c r="N225" s="8" t="n"/>
      <c r="O225" s="9" t="n"/>
      <c r="P225" s="12">
        <f>IF(C225="","",C225-SUM(K225,M225,O225))</f>
        <v/>
      </c>
      <c r="Q225" s="13">
        <f>IF(A225="","",IF(P225&lt;=0,"eingelöst",IF(AND(I225&lt;&gt;"",TODAY()&gt;I225),"abgelaufen",IF(P225&lt;C225,"teilweise","offen"))))</f>
        <v/>
      </c>
    </row>
    <row r="226">
      <c r="A226" s="7" t="n"/>
      <c r="B226" s="8" t="n"/>
      <c r="C226" s="9" t="n"/>
      <c r="D226" s="10" t="n"/>
      <c r="E226" s="10" t="n"/>
      <c r="F226" s="10" t="n"/>
      <c r="G226" s="10" t="n"/>
      <c r="H226" s="10" t="n"/>
      <c r="I226" s="11">
        <f>IF(B226="","",DATE(YEAR(B226)+3,12,31))</f>
        <v/>
      </c>
      <c r="J226" s="8" t="n"/>
      <c r="K226" s="9" t="n"/>
      <c r="L226" s="8" t="n"/>
      <c r="M226" s="9" t="n"/>
      <c r="N226" s="8" t="n"/>
      <c r="O226" s="9" t="n"/>
      <c r="P226" s="12">
        <f>IF(C226="","",C226-SUM(K226,M226,O226))</f>
        <v/>
      </c>
      <c r="Q226" s="13">
        <f>IF(A226="","",IF(P226&lt;=0,"eingelöst",IF(AND(I226&lt;&gt;"",TODAY()&gt;I226),"abgelaufen",IF(P226&lt;C226,"teilweise","offen"))))</f>
        <v/>
      </c>
    </row>
    <row r="227">
      <c r="A227" s="7" t="n"/>
      <c r="B227" s="8" t="n"/>
      <c r="C227" s="9" t="n"/>
      <c r="D227" s="10" t="n"/>
      <c r="E227" s="10" t="n"/>
      <c r="F227" s="10" t="n"/>
      <c r="G227" s="10" t="n"/>
      <c r="H227" s="10" t="n"/>
      <c r="I227" s="11">
        <f>IF(B227="","",DATE(YEAR(B227)+3,12,31))</f>
        <v/>
      </c>
      <c r="J227" s="8" t="n"/>
      <c r="K227" s="9" t="n"/>
      <c r="L227" s="8" t="n"/>
      <c r="M227" s="9" t="n"/>
      <c r="N227" s="8" t="n"/>
      <c r="O227" s="9" t="n"/>
      <c r="P227" s="12">
        <f>IF(C227="","",C227-SUM(K227,M227,O227))</f>
        <v/>
      </c>
      <c r="Q227" s="13">
        <f>IF(A227="","",IF(P227&lt;=0,"eingelöst",IF(AND(I227&lt;&gt;"",TODAY()&gt;I227),"abgelaufen",IF(P227&lt;C227,"teilweise","offen"))))</f>
        <v/>
      </c>
    </row>
    <row r="228">
      <c r="A228" s="7" t="n"/>
      <c r="B228" s="8" t="n"/>
      <c r="C228" s="9" t="n"/>
      <c r="D228" s="10" t="n"/>
      <c r="E228" s="10" t="n"/>
      <c r="F228" s="10" t="n"/>
      <c r="G228" s="10" t="n"/>
      <c r="H228" s="10" t="n"/>
      <c r="I228" s="11">
        <f>IF(B228="","",DATE(YEAR(B228)+3,12,31))</f>
        <v/>
      </c>
      <c r="J228" s="8" t="n"/>
      <c r="K228" s="9" t="n"/>
      <c r="L228" s="8" t="n"/>
      <c r="M228" s="9" t="n"/>
      <c r="N228" s="8" t="n"/>
      <c r="O228" s="9" t="n"/>
      <c r="P228" s="12">
        <f>IF(C228="","",C228-SUM(K228,M228,O228))</f>
        <v/>
      </c>
      <c r="Q228" s="13">
        <f>IF(A228="","",IF(P228&lt;=0,"eingelöst",IF(AND(I228&lt;&gt;"",TODAY()&gt;I228),"abgelaufen",IF(P228&lt;C228,"teilweise","offen"))))</f>
        <v/>
      </c>
    </row>
    <row r="229">
      <c r="A229" s="7" t="n"/>
      <c r="B229" s="8" t="n"/>
      <c r="C229" s="9" t="n"/>
      <c r="D229" s="10" t="n"/>
      <c r="E229" s="10" t="n"/>
      <c r="F229" s="10" t="n"/>
      <c r="G229" s="10" t="n"/>
      <c r="H229" s="10" t="n"/>
      <c r="I229" s="11">
        <f>IF(B229="","",DATE(YEAR(B229)+3,12,31))</f>
        <v/>
      </c>
      <c r="J229" s="8" t="n"/>
      <c r="K229" s="9" t="n"/>
      <c r="L229" s="8" t="n"/>
      <c r="M229" s="9" t="n"/>
      <c r="N229" s="8" t="n"/>
      <c r="O229" s="9" t="n"/>
      <c r="P229" s="12">
        <f>IF(C229="","",C229-SUM(K229,M229,O229))</f>
        <v/>
      </c>
      <c r="Q229" s="13">
        <f>IF(A229="","",IF(P229&lt;=0,"eingelöst",IF(AND(I229&lt;&gt;"",TODAY()&gt;I229),"abgelaufen",IF(P229&lt;C229,"teilweise","offen"))))</f>
        <v/>
      </c>
    </row>
    <row r="230">
      <c r="A230" s="7" t="n"/>
      <c r="B230" s="8" t="n"/>
      <c r="C230" s="9" t="n"/>
      <c r="D230" s="10" t="n"/>
      <c r="E230" s="10" t="n"/>
      <c r="F230" s="10" t="n"/>
      <c r="G230" s="10" t="n"/>
      <c r="H230" s="10" t="n"/>
      <c r="I230" s="11">
        <f>IF(B230="","",DATE(YEAR(B230)+3,12,31))</f>
        <v/>
      </c>
      <c r="J230" s="8" t="n"/>
      <c r="K230" s="9" t="n"/>
      <c r="L230" s="8" t="n"/>
      <c r="M230" s="9" t="n"/>
      <c r="N230" s="8" t="n"/>
      <c r="O230" s="9" t="n"/>
      <c r="P230" s="12">
        <f>IF(C230="","",C230-SUM(K230,M230,O230))</f>
        <v/>
      </c>
      <c r="Q230" s="13">
        <f>IF(A230="","",IF(P230&lt;=0,"eingelöst",IF(AND(I230&lt;&gt;"",TODAY()&gt;I230),"abgelaufen",IF(P230&lt;C230,"teilweise","offen"))))</f>
        <v/>
      </c>
    </row>
    <row r="231">
      <c r="A231" s="7" t="n"/>
      <c r="B231" s="8" t="n"/>
      <c r="C231" s="9" t="n"/>
      <c r="D231" s="10" t="n"/>
      <c r="E231" s="10" t="n"/>
      <c r="F231" s="10" t="n"/>
      <c r="G231" s="10" t="n"/>
      <c r="H231" s="10" t="n"/>
      <c r="I231" s="11">
        <f>IF(B231="","",DATE(YEAR(B231)+3,12,31))</f>
        <v/>
      </c>
      <c r="J231" s="8" t="n"/>
      <c r="K231" s="9" t="n"/>
      <c r="L231" s="8" t="n"/>
      <c r="M231" s="9" t="n"/>
      <c r="N231" s="8" t="n"/>
      <c r="O231" s="9" t="n"/>
      <c r="P231" s="12">
        <f>IF(C231="","",C231-SUM(K231,M231,O231))</f>
        <v/>
      </c>
      <c r="Q231" s="13">
        <f>IF(A231="","",IF(P231&lt;=0,"eingelöst",IF(AND(I231&lt;&gt;"",TODAY()&gt;I231),"abgelaufen",IF(P231&lt;C231,"teilweise","offen"))))</f>
        <v/>
      </c>
    </row>
    <row r="232">
      <c r="A232" s="7" t="n"/>
      <c r="B232" s="8" t="n"/>
      <c r="C232" s="9" t="n"/>
      <c r="D232" s="10" t="n"/>
      <c r="E232" s="10" t="n"/>
      <c r="F232" s="10" t="n"/>
      <c r="G232" s="10" t="n"/>
      <c r="H232" s="10" t="n"/>
      <c r="I232" s="11">
        <f>IF(B232="","",DATE(YEAR(B232)+3,12,31))</f>
        <v/>
      </c>
      <c r="J232" s="8" t="n"/>
      <c r="K232" s="9" t="n"/>
      <c r="L232" s="8" t="n"/>
      <c r="M232" s="9" t="n"/>
      <c r="N232" s="8" t="n"/>
      <c r="O232" s="9" t="n"/>
      <c r="P232" s="12">
        <f>IF(C232="","",C232-SUM(K232,M232,O232))</f>
        <v/>
      </c>
      <c r="Q232" s="13">
        <f>IF(A232="","",IF(P232&lt;=0,"eingelöst",IF(AND(I232&lt;&gt;"",TODAY()&gt;I232),"abgelaufen",IF(P232&lt;C232,"teilweise","offen"))))</f>
        <v/>
      </c>
    </row>
    <row r="233">
      <c r="A233" s="7" t="n"/>
      <c r="B233" s="8" t="n"/>
      <c r="C233" s="9" t="n"/>
      <c r="D233" s="10" t="n"/>
      <c r="E233" s="10" t="n"/>
      <c r="F233" s="10" t="n"/>
      <c r="G233" s="10" t="n"/>
      <c r="H233" s="10" t="n"/>
      <c r="I233" s="11">
        <f>IF(B233="","",DATE(YEAR(B233)+3,12,31))</f>
        <v/>
      </c>
      <c r="J233" s="8" t="n"/>
      <c r="K233" s="9" t="n"/>
      <c r="L233" s="8" t="n"/>
      <c r="M233" s="9" t="n"/>
      <c r="N233" s="8" t="n"/>
      <c r="O233" s="9" t="n"/>
      <c r="P233" s="12">
        <f>IF(C233="","",C233-SUM(K233,M233,O233))</f>
        <v/>
      </c>
      <c r="Q233" s="13">
        <f>IF(A233="","",IF(P233&lt;=0,"eingelöst",IF(AND(I233&lt;&gt;"",TODAY()&gt;I233),"abgelaufen",IF(P233&lt;C233,"teilweise","offen"))))</f>
        <v/>
      </c>
    </row>
    <row r="234">
      <c r="A234" s="7" t="n"/>
      <c r="B234" s="8" t="n"/>
      <c r="C234" s="9" t="n"/>
      <c r="D234" s="10" t="n"/>
      <c r="E234" s="10" t="n"/>
      <c r="F234" s="10" t="n"/>
      <c r="G234" s="10" t="n"/>
      <c r="H234" s="10" t="n"/>
      <c r="I234" s="11">
        <f>IF(B234="","",DATE(YEAR(B234)+3,12,31))</f>
        <v/>
      </c>
      <c r="J234" s="8" t="n"/>
      <c r="K234" s="9" t="n"/>
      <c r="L234" s="8" t="n"/>
      <c r="M234" s="9" t="n"/>
      <c r="N234" s="8" t="n"/>
      <c r="O234" s="9" t="n"/>
      <c r="P234" s="12">
        <f>IF(C234="","",C234-SUM(K234,M234,O234))</f>
        <v/>
      </c>
      <c r="Q234" s="13">
        <f>IF(A234="","",IF(P234&lt;=0,"eingelöst",IF(AND(I234&lt;&gt;"",TODAY()&gt;I234),"abgelaufen",IF(P234&lt;C234,"teilweise","offen"))))</f>
        <v/>
      </c>
    </row>
    <row r="235">
      <c r="A235" s="7" t="n"/>
      <c r="B235" s="8" t="n"/>
      <c r="C235" s="9" t="n"/>
      <c r="D235" s="10" t="n"/>
      <c r="E235" s="10" t="n"/>
      <c r="F235" s="10" t="n"/>
      <c r="G235" s="10" t="n"/>
      <c r="H235" s="10" t="n"/>
      <c r="I235" s="11">
        <f>IF(B235="","",DATE(YEAR(B235)+3,12,31))</f>
        <v/>
      </c>
      <c r="J235" s="8" t="n"/>
      <c r="K235" s="9" t="n"/>
      <c r="L235" s="8" t="n"/>
      <c r="M235" s="9" t="n"/>
      <c r="N235" s="8" t="n"/>
      <c r="O235" s="9" t="n"/>
      <c r="P235" s="12">
        <f>IF(C235="","",C235-SUM(K235,M235,O235))</f>
        <v/>
      </c>
      <c r="Q235" s="13">
        <f>IF(A235="","",IF(P235&lt;=0,"eingelöst",IF(AND(I235&lt;&gt;"",TODAY()&gt;I235),"abgelaufen",IF(P235&lt;C235,"teilweise","offen"))))</f>
        <v/>
      </c>
    </row>
    <row r="236">
      <c r="A236" s="7" t="n"/>
      <c r="B236" s="8" t="n"/>
      <c r="C236" s="9" t="n"/>
      <c r="D236" s="10" t="n"/>
      <c r="E236" s="10" t="n"/>
      <c r="F236" s="10" t="n"/>
      <c r="G236" s="10" t="n"/>
      <c r="H236" s="10" t="n"/>
      <c r="I236" s="11">
        <f>IF(B236="","",DATE(YEAR(B236)+3,12,31))</f>
        <v/>
      </c>
      <c r="J236" s="8" t="n"/>
      <c r="K236" s="9" t="n"/>
      <c r="L236" s="8" t="n"/>
      <c r="M236" s="9" t="n"/>
      <c r="N236" s="8" t="n"/>
      <c r="O236" s="9" t="n"/>
      <c r="P236" s="12">
        <f>IF(C236="","",C236-SUM(K236,M236,O236))</f>
        <v/>
      </c>
      <c r="Q236" s="13">
        <f>IF(A236="","",IF(P236&lt;=0,"eingelöst",IF(AND(I236&lt;&gt;"",TODAY()&gt;I236),"abgelaufen",IF(P236&lt;C236,"teilweise","offen"))))</f>
        <v/>
      </c>
    </row>
    <row r="237">
      <c r="A237" s="7" t="n"/>
      <c r="B237" s="8" t="n"/>
      <c r="C237" s="9" t="n"/>
      <c r="D237" s="10" t="n"/>
      <c r="E237" s="10" t="n"/>
      <c r="F237" s="10" t="n"/>
      <c r="G237" s="10" t="n"/>
      <c r="H237" s="10" t="n"/>
      <c r="I237" s="11">
        <f>IF(B237="","",DATE(YEAR(B237)+3,12,31))</f>
        <v/>
      </c>
      <c r="J237" s="8" t="n"/>
      <c r="K237" s="9" t="n"/>
      <c r="L237" s="8" t="n"/>
      <c r="M237" s="9" t="n"/>
      <c r="N237" s="8" t="n"/>
      <c r="O237" s="9" t="n"/>
      <c r="P237" s="12">
        <f>IF(C237="","",C237-SUM(K237,M237,O237))</f>
        <v/>
      </c>
      <c r="Q237" s="13">
        <f>IF(A237="","",IF(P237&lt;=0,"eingelöst",IF(AND(I237&lt;&gt;"",TODAY()&gt;I237),"abgelaufen",IF(P237&lt;C237,"teilweise","offen"))))</f>
        <v/>
      </c>
    </row>
    <row r="238">
      <c r="A238" s="7" t="n"/>
      <c r="B238" s="8" t="n"/>
      <c r="C238" s="9" t="n"/>
      <c r="D238" s="10" t="n"/>
      <c r="E238" s="10" t="n"/>
      <c r="F238" s="10" t="n"/>
      <c r="G238" s="10" t="n"/>
      <c r="H238" s="10" t="n"/>
      <c r="I238" s="11">
        <f>IF(B238="","",DATE(YEAR(B238)+3,12,31))</f>
        <v/>
      </c>
      <c r="J238" s="8" t="n"/>
      <c r="K238" s="9" t="n"/>
      <c r="L238" s="8" t="n"/>
      <c r="M238" s="9" t="n"/>
      <c r="N238" s="8" t="n"/>
      <c r="O238" s="9" t="n"/>
      <c r="P238" s="12">
        <f>IF(C238="","",C238-SUM(K238,M238,O238))</f>
        <v/>
      </c>
      <c r="Q238" s="13">
        <f>IF(A238="","",IF(P238&lt;=0,"eingelöst",IF(AND(I238&lt;&gt;"",TODAY()&gt;I238),"abgelaufen",IF(P238&lt;C238,"teilweise","offen"))))</f>
        <v/>
      </c>
    </row>
    <row r="239">
      <c r="A239" s="7" t="n"/>
      <c r="B239" s="8" t="n"/>
      <c r="C239" s="9" t="n"/>
      <c r="D239" s="10" t="n"/>
      <c r="E239" s="10" t="n"/>
      <c r="F239" s="10" t="n"/>
      <c r="G239" s="10" t="n"/>
      <c r="H239" s="10" t="n"/>
      <c r="I239" s="11">
        <f>IF(B239="","",DATE(YEAR(B239)+3,12,31))</f>
        <v/>
      </c>
      <c r="J239" s="8" t="n"/>
      <c r="K239" s="9" t="n"/>
      <c r="L239" s="8" t="n"/>
      <c r="M239" s="9" t="n"/>
      <c r="N239" s="8" t="n"/>
      <c r="O239" s="9" t="n"/>
      <c r="P239" s="12">
        <f>IF(C239="","",C239-SUM(K239,M239,O239))</f>
        <v/>
      </c>
      <c r="Q239" s="13">
        <f>IF(A239="","",IF(P239&lt;=0,"eingelöst",IF(AND(I239&lt;&gt;"",TODAY()&gt;I239),"abgelaufen",IF(P239&lt;C239,"teilweise","offen"))))</f>
        <v/>
      </c>
    </row>
    <row r="240">
      <c r="A240" s="7" t="n"/>
      <c r="B240" s="8" t="n"/>
      <c r="C240" s="9" t="n"/>
      <c r="D240" s="10" t="n"/>
      <c r="E240" s="10" t="n"/>
      <c r="F240" s="10" t="n"/>
      <c r="G240" s="10" t="n"/>
      <c r="H240" s="10" t="n"/>
      <c r="I240" s="11">
        <f>IF(B240="","",DATE(YEAR(B240)+3,12,31))</f>
        <v/>
      </c>
      <c r="J240" s="8" t="n"/>
      <c r="K240" s="9" t="n"/>
      <c r="L240" s="8" t="n"/>
      <c r="M240" s="9" t="n"/>
      <c r="N240" s="8" t="n"/>
      <c r="O240" s="9" t="n"/>
      <c r="P240" s="12">
        <f>IF(C240="","",C240-SUM(K240,M240,O240))</f>
        <v/>
      </c>
      <c r="Q240" s="13">
        <f>IF(A240="","",IF(P240&lt;=0,"eingelöst",IF(AND(I240&lt;&gt;"",TODAY()&gt;I240),"abgelaufen",IF(P240&lt;C240,"teilweise","offen"))))</f>
        <v/>
      </c>
    </row>
    <row r="241">
      <c r="A241" s="7" t="n"/>
      <c r="B241" s="8" t="n"/>
      <c r="C241" s="9" t="n"/>
      <c r="D241" s="10" t="n"/>
      <c r="E241" s="10" t="n"/>
      <c r="F241" s="10" t="n"/>
      <c r="G241" s="10" t="n"/>
      <c r="H241" s="10" t="n"/>
      <c r="I241" s="11">
        <f>IF(B241="","",DATE(YEAR(B241)+3,12,31))</f>
        <v/>
      </c>
      <c r="J241" s="8" t="n"/>
      <c r="K241" s="9" t="n"/>
      <c r="L241" s="8" t="n"/>
      <c r="M241" s="9" t="n"/>
      <c r="N241" s="8" t="n"/>
      <c r="O241" s="9" t="n"/>
      <c r="P241" s="12">
        <f>IF(C241="","",C241-SUM(K241,M241,O241))</f>
        <v/>
      </c>
      <c r="Q241" s="13">
        <f>IF(A241="","",IF(P241&lt;=0,"eingelöst",IF(AND(I241&lt;&gt;"",TODAY()&gt;I241),"abgelaufen",IF(P241&lt;C241,"teilweise","offen"))))</f>
        <v/>
      </c>
    </row>
    <row r="242">
      <c r="A242" s="7" t="n"/>
      <c r="B242" s="8" t="n"/>
      <c r="C242" s="9" t="n"/>
      <c r="D242" s="10" t="n"/>
      <c r="E242" s="10" t="n"/>
      <c r="F242" s="10" t="n"/>
      <c r="G242" s="10" t="n"/>
      <c r="H242" s="10" t="n"/>
      <c r="I242" s="11">
        <f>IF(B242="","",DATE(YEAR(B242)+3,12,31))</f>
        <v/>
      </c>
      <c r="J242" s="8" t="n"/>
      <c r="K242" s="9" t="n"/>
      <c r="L242" s="8" t="n"/>
      <c r="M242" s="9" t="n"/>
      <c r="N242" s="8" t="n"/>
      <c r="O242" s="9" t="n"/>
      <c r="P242" s="12">
        <f>IF(C242="","",C242-SUM(K242,M242,O242))</f>
        <v/>
      </c>
      <c r="Q242" s="13">
        <f>IF(A242="","",IF(P242&lt;=0,"eingelöst",IF(AND(I242&lt;&gt;"",TODAY()&gt;I242),"abgelaufen",IF(P242&lt;C242,"teilweise","offen"))))</f>
        <v/>
      </c>
    </row>
    <row r="243">
      <c r="A243" s="7" t="n"/>
      <c r="B243" s="8" t="n"/>
      <c r="C243" s="9" t="n"/>
      <c r="D243" s="10" t="n"/>
      <c r="E243" s="10" t="n"/>
      <c r="F243" s="10" t="n"/>
      <c r="G243" s="10" t="n"/>
      <c r="H243" s="10" t="n"/>
      <c r="I243" s="11">
        <f>IF(B243="","",DATE(YEAR(B243)+3,12,31))</f>
        <v/>
      </c>
      <c r="J243" s="8" t="n"/>
      <c r="K243" s="9" t="n"/>
      <c r="L243" s="8" t="n"/>
      <c r="M243" s="9" t="n"/>
      <c r="N243" s="8" t="n"/>
      <c r="O243" s="9" t="n"/>
      <c r="P243" s="12">
        <f>IF(C243="","",C243-SUM(K243,M243,O243))</f>
        <v/>
      </c>
      <c r="Q243" s="13">
        <f>IF(A243="","",IF(P243&lt;=0,"eingelöst",IF(AND(I243&lt;&gt;"",TODAY()&gt;I243),"abgelaufen",IF(P243&lt;C243,"teilweise","offen"))))</f>
        <v/>
      </c>
    </row>
    <row r="244">
      <c r="A244" s="7" t="n"/>
      <c r="B244" s="8" t="n"/>
      <c r="C244" s="9" t="n"/>
      <c r="D244" s="10" t="n"/>
      <c r="E244" s="10" t="n"/>
      <c r="F244" s="10" t="n"/>
      <c r="G244" s="10" t="n"/>
      <c r="H244" s="10" t="n"/>
      <c r="I244" s="11">
        <f>IF(B244="","",DATE(YEAR(B244)+3,12,31))</f>
        <v/>
      </c>
      <c r="J244" s="8" t="n"/>
      <c r="K244" s="9" t="n"/>
      <c r="L244" s="8" t="n"/>
      <c r="M244" s="9" t="n"/>
      <c r="N244" s="8" t="n"/>
      <c r="O244" s="9" t="n"/>
      <c r="P244" s="12">
        <f>IF(C244="","",C244-SUM(K244,M244,O244))</f>
        <v/>
      </c>
      <c r="Q244" s="13">
        <f>IF(A244="","",IF(P244&lt;=0,"eingelöst",IF(AND(I244&lt;&gt;"",TODAY()&gt;I244),"abgelaufen",IF(P244&lt;C244,"teilweise","offen"))))</f>
        <v/>
      </c>
    </row>
    <row r="245">
      <c r="A245" s="7" t="n"/>
      <c r="B245" s="8" t="n"/>
      <c r="C245" s="9" t="n"/>
      <c r="D245" s="10" t="n"/>
      <c r="E245" s="10" t="n"/>
      <c r="F245" s="10" t="n"/>
      <c r="G245" s="10" t="n"/>
      <c r="H245" s="10" t="n"/>
      <c r="I245" s="11">
        <f>IF(B245="","",DATE(YEAR(B245)+3,12,31))</f>
        <v/>
      </c>
      <c r="J245" s="8" t="n"/>
      <c r="K245" s="9" t="n"/>
      <c r="L245" s="8" t="n"/>
      <c r="M245" s="9" t="n"/>
      <c r="N245" s="8" t="n"/>
      <c r="O245" s="9" t="n"/>
      <c r="P245" s="12">
        <f>IF(C245="","",C245-SUM(K245,M245,O245))</f>
        <v/>
      </c>
      <c r="Q245" s="13">
        <f>IF(A245="","",IF(P245&lt;=0,"eingelöst",IF(AND(I245&lt;&gt;"",TODAY()&gt;I245),"abgelaufen",IF(P245&lt;C245,"teilweise","offen"))))</f>
        <v/>
      </c>
    </row>
    <row r="246">
      <c r="A246" s="7" t="n"/>
      <c r="B246" s="8" t="n"/>
      <c r="C246" s="9" t="n"/>
      <c r="D246" s="10" t="n"/>
      <c r="E246" s="10" t="n"/>
      <c r="F246" s="10" t="n"/>
      <c r="G246" s="10" t="n"/>
      <c r="H246" s="10" t="n"/>
      <c r="I246" s="11">
        <f>IF(B246="","",DATE(YEAR(B246)+3,12,31))</f>
        <v/>
      </c>
      <c r="J246" s="8" t="n"/>
      <c r="K246" s="9" t="n"/>
      <c r="L246" s="8" t="n"/>
      <c r="M246" s="9" t="n"/>
      <c r="N246" s="8" t="n"/>
      <c r="O246" s="9" t="n"/>
      <c r="P246" s="12">
        <f>IF(C246="","",C246-SUM(K246,M246,O246))</f>
        <v/>
      </c>
      <c r="Q246" s="13">
        <f>IF(A246="","",IF(P246&lt;=0,"eingelöst",IF(AND(I246&lt;&gt;"",TODAY()&gt;I246),"abgelaufen",IF(P246&lt;C246,"teilweise","offen"))))</f>
        <v/>
      </c>
    </row>
    <row r="247">
      <c r="A247" s="7" t="n"/>
      <c r="B247" s="8" t="n"/>
      <c r="C247" s="9" t="n"/>
      <c r="D247" s="10" t="n"/>
      <c r="E247" s="10" t="n"/>
      <c r="F247" s="10" t="n"/>
      <c r="G247" s="10" t="n"/>
      <c r="H247" s="10" t="n"/>
      <c r="I247" s="11">
        <f>IF(B247="","",DATE(YEAR(B247)+3,12,31))</f>
        <v/>
      </c>
      <c r="J247" s="8" t="n"/>
      <c r="K247" s="9" t="n"/>
      <c r="L247" s="8" t="n"/>
      <c r="M247" s="9" t="n"/>
      <c r="N247" s="8" t="n"/>
      <c r="O247" s="9" t="n"/>
      <c r="P247" s="12">
        <f>IF(C247="","",C247-SUM(K247,M247,O247))</f>
        <v/>
      </c>
      <c r="Q247" s="13">
        <f>IF(A247="","",IF(P247&lt;=0,"eingelöst",IF(AND(I247&lt;&gt;"",TODAY()&gt;I247),"abgelaufen",IF(P247&lt;C247,"teilweise","offen"))))</f>
        <v/>
      </c>
    </row>
    <row r="248">
      <c r="A248" s="7" t="n"/>
      <c r="B248" s="8" t="n"/>
      <c r="C248" s="9" t="n"/>
      <c r="D248" s="10" t="n"/>
      <c r="E248" s="10" t="n"/>
      <c r="F248" s="10" t="n"/>
      <c r="G248" s="10" t="n"/>
      <c r="H248" s="10" t="n"/>
      <c r="I248" s="11">
        <f>IF(B248="","",DATE(YEAR(B248)+3,12,31))</f>
        <v/>
      </c>
      <c r="J248" s="8" t="n"/>
      <c r="K248" s="9" t="n"/>
      <c r="L248" s="8" t="n"/>
      <c r="M248" s="9" t="n"/>
      <c r="N248" s="8" t="n"/>
      <c r="O248" s="9" t="n"/>
      <c r="P248" s="12">
        <f>IF(C248="","",C248-SUM(K248,M248,O248))</f>
        <v/>
      </c>
      <c r="Q248" s="13">
        <f>IF(A248="","",IF(P248&lt;=0,"eingelöst",IF(AND(I248&lt;&gt;"",TODAY()&gt;I248),"abgelaufen",IF(P248&lt;C248,"teilweise","offen"))))</f>
        <v/>
      </c>
    </row>
    <row r="249">
      <c r="A249" s="7" t="n"/>
      <c r="B249" s="8" t="n"/>
      <c r="C249" s="9" t="n"/>
      <c r="D249" s="10" t="n"/>
      <c r="E249" s="10" t="n"/>
      <c r="F249" s="10" t="n"/>
      <c r="G249" s="10" t="n"/>
      <c r="H249" s="10" t="n"/>
      <c r="I249" s="11">
        <f>IF(B249="","",DATE(YEAR(B249)+3,12,31))</f>
        <v/>
      </c>
      <c r="J249" s="8" t="n"/>
      <c r="K249" s="9" t="n"/>
      <c r="L249" s="8" t="n"/>
      <c r="M249" s="9" t="n"/>
      <c r="N249" s="8" t="n"/>
      <c r="O249" s="9" t="n"/>
      <c r="P249" s="12">
        <f>IF(C249="","",C249-SUM(K249,M249,O249))</f>
        <v/>
      </c>
      <c r="Q249" s="13">
        <f>IF(A249="","",IF(P249&lt;=0,"eingelöst",IF(AND(I249&lt;&gt;"",TODAY()&gt;I249),"abgelaufen",IF(P249&lt;C249,"teilweise","offen"))))</f>
        <v/>
      </c>
    </row>
    <row r="250">
      <c r="A250" s="7" t="n"/>
      <c r="B250" s="8" t="n"/>
      <c r="C250" s="9" t="n"/>
      <c r="D250" s="10" t="n"/>
      <c r="E250" s="10" t="n"/>
      <c r="F250" s="10" t="n"/>
      <c r="G250" s="10" t="n"/>
      <c r="H250" s="10" t="n"/>
      <c r="I250" s="11">
        <f>IF(B250="","",DATE(YEAR(B250)+3,12,31))</f>
        <v/>
      </c>
      <c r="J250" s="8" t="n"/>
      <c r="K250" s="9" t="n"/>
      <c r="L250" s="8" t="n"/>
      <c r="M250" s="9" t="n"/>
      <c r="N250" s="8" t="n"/>
      <c r="O250" s="9" t="n"/>
      <c r="P250" s="12">
        <f>IF(C250="","",C250-SUM(K250,M250,O250))</f>
        <v/>
      </c>
      <c r="Q250" s="13">
        <f>IF(A250="","",IF(P250&lt;=0,"eingelöst",IF(AND(I250&lt;&gt;"",TODAY()&gt;I250),"abgelaufen",IF(P250&lt;C250,"teilweise","offen"))))</f>
        <v/>
      </c>
    </row>
    <row r="251">
      <c r="A251" s="7" t="n"/>
      <c r="B251" s="8" t="n"/>
      <c r="C251" s="9" t="n"/>
      <c r="D251" s="10" t="n"/>
      <c r="E251" s="10" t="n"/>
      <c r="F251" s="10" t="n"/>
      <c r="G251" s="10" t="n"/>
      <c r="H251" s="10" t="n"/>
      <c r="I251" s="11">
        <f>IF(B251="","",DATE(YEAR(B251)+3,12,31))</f>
        <v/>
      </c>
      <c r="J251" s="8" t="n"/>
      <c r="K251" s="9" t="n"/>
      <c r="L251" s="8" t="n"/>
      <c r="M251" s="9" t="n"/>
      <c r="N251" s="8" t="n"/>
      <c r="O251" s="9" t="n"/>
      <c r="P251" s="12">
        <f>IF(C251="","",C251-SUM(K251,M251,O251))</f>
        <v/>
      </c>
      <c r="Q251" s="13">
        <f>IF(A251="","",IF(P251&lt;=0,"eingelöst",IF(AND(I251&lt;&gt;"",TODAY()&gt;I251),"abgelaufen",IF(P251&lt;C251,"teilweise","offen"))))</f>
        <v/>
      </c>
    </row>
    <row r="252">
      <c r="A252" s="7" t="n"/>
      <c r="B252" s="8" t="n"/>
      <c r="C252" s="9" t="n"/>
      <c r="D252" s="10" t="n"/>
      <c r="E252" s="10" t="n"/>
      <c r="F252" s="10" t="n"/>
      <c r="G252" s="10" t="n"/>
      <c r="H252" s="10" t="n"/>
      <c r="I252" s="11">
        <f>IF(B252="","",DATE(YEAR(B252)+3,12,31))</f>
        <v/>
      </c>
      <c r="J252" s="8" t="n"/>
      <c r="K252" s="9" t="n"/>
      <c r="L252" s="8" t="n"/>
      <c r="M252" s="9" t="n"/>
      <c r="N252" s="8" t="n"/>
      <c r="O252" s="9" t="n"/>
      <c r="P252" s="12">
        <f>IF(C252="","",C252-SUM(K252,M252,O252))</f>
        <v/>
      </c>
      <c r="Q252" s="13">
        <f>IF(A252="","",IF(P252&lt;=0,"eingelöst",IF(AND(I252&lt;&gt;"",TODAY()&gt;I252),"abgelaufen",IF(P252&lt;C252,"teilweise","offen"))))</f>
        <v/>
      </c>
    </row>
    <row r="253">
      <c r="A253" s="7" t="n"/>
      <c r="B253" s="8" t="n"/>
      <c r="C253" s="9" t="n"/>
      <c r="D253" s="10" t="n"/>
      <c r="E253" s="10" t="n"/>
      <c r="F253" s="10" t="n"/>
      <c r="G253" s="10" t="n"/>
      <c r="H253" s="10" t="n"/>
      <c r="I253" s="11">
        <f>IF(B253="","",DATE(YEAR(B253)+3,12,31))</f>
        <v/>
      </c>
      <c r="J253" s="8" t="n"/>
      <c r="K253" s="9" t="n"/>
      <c r="L253" s="8" t="n"/>
      <c r="M253" s="9" t="n"/>
      <c r="N253" s="8" t="n"/>
      <c r="O253" s="9" t="n"/>
      <c r="P253" s="12">
        <f>IF(C253="","",C253-SUM(K253,M253,O253))</f>
        <v/>
      </c>
      <c r="Q253" s="13">
        <f>IF(A253="","",IF(P253&lt;=0,"eingelöst",IF(AND(I253&lt;&gt;"",TODAY()&gt;I253),"abgelaufen",IF(P253&lt;C253,"teilweise","offen"))))</f>
        <v/>
      </c>
    </row>
    <row r="254">
      <c r="A254" s="7" t="n"/>
      <c r="B254" s="8" t="n"/>
      <c r="C254" s="9" t="n"/>
      <c r="D254" s="10" t="n"/>
      <c r="E254" s="10" t="n"/>
      <c r="F254" s="10" t="n"/>
      <c r="G254" s="10" t="n"/>
      <c r="H254" s="10" t="n"/>
      <c r="I254" s="11">
        <f>IF(B254="","",DATE(YEAR(B254)+3,12,31))</f>
        <v/>
      </c>
      <c r="J254" s="8" t="n"/>
      <c r="K254" s="9" t="n"/>
      <c r="L254" s="8" t="n"/>
      <c r="M254" s="9" t="n"/>
      <c r="N254" s="8" t="n"/>
      <c r="O254" s="9" t="n"/>
      <c r="P254" s="12">
        <f>IF(C254="","",C254-SUM(K254,M254,O254))</f>
        <v/>
      </c>
      <c r="Q254" s="13">
        <f>IF(A254="","",IF(P254&lt;=0,"eingelöst",IF(AND(I254&lt;&gt;"",TODAY()&gt;I254),"abgelaufen",IF(P254&lt;C254,"teilweise","offen"))))</f>
        <v/>
      </c>
    </row>
    <row r="255">
      <c r="A255" s="7" t="n"/>
      <c r="B255" s="8" t="n"/>
      <c r="C255" s="9" t="n"/>
      <c r="D255" s="10" t="n"/>
      <c r="E255" s="10" t="n"/>
      <c r="F255" s="10" t="n"/>
      <c r="G255" s="10" t="n"/>
      <c r="H255" s="10" t="n"/>
      <c r="I255" s="11">
        <f>IF(B255="","",DATE(YEAR(B255)+3,12,31))</f>
        <v/>
      </c>
      <c r="J255" s="8" t="n"/>
      <c r="K255" s="9" t="n"/>
      <c r="L255" s="8" t="n"/>
      <c r="M255" s="9" t="n"/>
      <c r="N255" s="8" t="n"/>
      <c r="O255" s="9" t="n"/>
      <c r="P255" s="12">
        <f>IF(C255="","",C255-SUM(K255,M255,O255))</f>
        <v/>
      </c>
      <c r="Q255" s="13">
        <f>IF(A255="","",IF(P255&lt;=0,"eingelöst",IF(AND(I255&lt;&gt;"",TODAY()&gt;I255),"abgelaufen",IF(P255&lt;C255,"teilweise","offen"))))</f>
        <v/>
      </c>
    </row>
    <row r="256">
      <c r="A256" s="7" t="n"/>
      <c r="B256" s="8" t="n"/>
      <c r="C256" s="9" t="n"/>
      <c r="D256" s="10" t="n"/>
      <c r="E256" s="10" t="n"/>
      <c r="F256" s="10" t="n"/>
      <c r="G256" s="10" t="n"/>
      <c r="H256" s="10" t="n"/>
      <c r="I256" s="11">
        <f>IF(B256="","",DATE(YEAR(B256)+3,12,31))</f>
        <v/>
      </c>
      <c r="J256" s="8" t="n"/>
      <c r="K256" s="9" t="n"/>
      <c r="L256" s="8" t="n"/>
      <c r="M256" s="9" t="n"/>
      <c r="N256" s="8" t="n"/>
      <c r="O256" s="9" t="n"/>
      <c r="P256" s="12">
        <f>IF(C256="","",C256-SUM(K256,M256,O256))</f>
        <v/>
      </c>
      <c r="Q256" s="13">
        <f>IF(A256="","",IF(P256&lt;=0,"eingelöst",IF(AND(I256&lt;&gt;"",TODAY()&gt;I256),"abgelaufen",IF(P256&lt;C256,"teilweise","offen"))))</f>
        <v/>
      </c>
    </row>
    <row r="257">
      <c r="A257" s="7" t="n"/>
      <c r="B257" s="8" t="n"/>
      <c r="C257" s="9" t="n"/>
      <c r="D257" s="10" t="n"/>
      <c r="E257" s="10" t="n"/>
      <c r="F257" s="10" t="n"/>
      <c r="G257" s="10" t="n"/>
      <c r="H257" s="10" t="n"/>
      <c r="I257" s="11">
        <f>IF(B257="","",DATE(YEAR(B257)+3,12,31))</f>
        <v/>
      </c>
      <c r="J257" s="8" t="n"/>
      <c r="K257" s="9" t="n"/>
      <c r="L257" s="8" t="n"/>
      <c r="M257" s="9" t="n"/>
      <c r="N257" s="8" t="n"/>
      <c r="O257" s="9" t="n"/>
      <c r="P257" s="12">
        <f>IF(C257="","",C257-SUM(K257,M257,O257))</f>
        <v/>
      </c>
      <c r="Q257" s="13">
        <f>IF(A257="","",IF(P257&lt;=0,"eingelöst",IF(AND(I257&lt;&gt;"",TODAY()&gt;I257),"abgelaufen",IF(P257&lt;C257,"teilweise","offen"))))</f>
        <v/>
      </c>
    </row>
    <row r="258">
      <c r="A258" s="7" t="n"/>
      <c r="B258" s="8" t="n"/>
      <c r="C258" s="9" t="n"/>
      <c r="D258" s="10" t="n"/>
      <c r="E258" s="10" t="n"/>
      <c r="F258" s="10" t="n"/>
      <c r="G258" s="10" t="n"/>
      <c r="H258" s="10" t="n"/>
      <c r="I258" s="11">
        <f>IF(B258="","",DATE(YEAR(B258)+3,12,31))</f>
        <v/>
      </c>
      <c r="J258" s="8" t="n"/>
      <c r="K258" s="9" t="n"/>
      <c r="L258" s="8" t="n"/>
      <c r="M258" s="9" t="n"/>
      <c r="N258" s="8" t="n"/>
      <c r="O258" s="9" t="n"/>
      <c r="P258" s="12">
        <f>IF(C258="","",C258-SUM(K258,M258,O258))</f>
        <v/>
      </c>
      <c r="Q258" s="13">
        <f>IF(A258="","",IF(P258&lt;=0,"eingelöst",IF(AND(I258&lt;&gt;"",TODAY()&gt;I258),"abgelaufen",IF(P258&lt;C258,"teilweise","offen"))))</f>
        <v/>
      </c>
    </row>
    <row r="259">
      <c r="A259" s="7" t="n"/>
      <c r="B259" s="8" t="n"/>
      <c r="C259" s="9" t="n"/>
      <c r="D259" s="10" t="n"/>
      <c r="E259" s="10" t="n"/>
      <c r="F259" s="10" t="n"/>
      <c r="G259" s="10" t="n"/>
      <c r="H259" s="10" t="n"/>
      <c r="I259" s="11">
        <f>IF(B259="","",DATE(YEAR(B259)+3,12,31))</f>
        <v/>
      </c>
      <c r="J259" s="8" t="n"/>
      <c r="K259" s="9" t="n"/>
      <c r="L259" s="8" t="n"/>
      <c r="M259" s="9" t="n"/>
      <c r="N259" s="8" t="n"/>
      <c r="O259" s="9" t="n"/>
      <c r="P259" s="12">
        <f>IF(C259="","",C259-SUM(K259,M259,O259))</f>
        <v/>
      </c>
      <c r="Q259" s="13">
        <f>IF(A259="","",IF(P259&lt;=0,"eingelöst",IF(AND(I259&lt;&gt;"",TODAY()&gt;I259),"abgelaufen",IF(P259&lt;C259,"teilweise","offen"))))</f>
        <v/>
      </c>
    </row>
    <row r="260">
      <c r="A260" s="7" t="n"/>
      <c r="B260" s="8" t="n"/>
      <c r="C260" s="9" t="n"/>
      <c r="D260" s="10" t="n"/>
      <c r="E260" s="10" t="n"/>
      <c r="F260" s="10" t="n"/>
      <c r="G260" s="10" t="n"/>
      <c r="H260" s="10" t="n"/>
      <c r="I260" s="11">
        <f>IF(B260="","",DATE(YEAR(B260)+3,12,31))</f>
        <v/>
      </c>
      <c r="J260" s="8" t="n"/>
      <c r="K260" s="9" t="n"/>
      <c r="L260" s="8" t="n"/>
      <c r="M260" s="9" t="n"/>
      <c r="N260" s="8" t="n"/>
      <c r="O260" s="9" t="n"/>
      <c r="P260" s="12">
        <f>IF(C260="","",C260-SUM(K260,M260,O260))</f>
        <v/>
      </c>
      <c r="Q260" s="13">
        <f>IF(A260="","",IF(P260&lt;=0,"eingelöst",IF(AND(I260&lt;&gt;"",TODAY()&gt;I260),"abgelaufen",IF(P260&lt;C260,"teilweise","offen"))))</f>
        <v/>
      </c>
    </row>
    <row r="261">
      <c r="A261" s="7" t="n"/>
      <c r="B261" s="8" t="n"/>
      <c r="C261" s="9" t="n"/>
      <c r="D261" s="10" t="n"/>
      <c r="E261" s="10" t="n"/>
      <c r="F261" s="10" t="n"/>
      <c r="G261" s="10" t="n"/>
      <c r="H261" s="10" t="n"/>
      <c r="I261" s="11">
        <f>IF(B261="","",DATE(YEAR(B261)+3,12,31))</f>
        <v/>
      </c>
      <c r="J261" s="8" t="n"/>
      <c r="K261" s="9" t="n"/>
      <c r="L261" s="8" t="n"/>
      <c r="M261" s="9" t="n"/>
      <c r="N261" s="8" t="n"/>
      <c r="O261" s="9" t="n"/>
      <c r="P261" s="12">
        <f>IF(C261="","",C261-SUM(K261,M261,O261))</f>
        <v/>
      </c>
      <c r="Q261" s="13">
        <f>IF(A261="","",IF(P261&lt;=0,"eingelöst",IF(AND(I261&lt;&gt;"",TODAY()&gt;I261),"abgelaufen",IF(P261&lt;C261,"teilweise","offen"))))</f>
        <v/>
      </c>
    </row>
    <row r="262">
      <c r="A262" s="7" t="n"/>
      <c r="B262" s="8" t="n"/>
      <c r="C262" s="9" t="n"/>
      <c r="D262" s="10" t="n"/>
      <c r="E262" s="10" t="n"/>
      <c r="F262" s="10" t="n"/>
      <c r="G262" s="10" t="n"/>
      <c r="H262" s="10" t="n"/>
      <c r="I262" s="11">
        <f>IF(B262="","",DATE(YEAR(B262)+3,12,31))</f>
        <v/>
      </c>
      <c r="J262" s="8" t="n"/>
      <c r="K262" s="9" t="n"/>
      <c r="L262" s="8" t="n"/>
      <c r="M262" s="9" t="n"/>
      <c r="N262" s="8" t="n"/>
      <c r="O262" s="9" t="n"/>
      <c r="P262" s="12">
        <f>IF(C262="","",C262-SUM(K262,M262,O262))</f>
        <v/>
      </c>
      <c r="Q262" s="13">
        <f>IF(A262="","",IF(P262&lt;=0,"eingelöst",IF(AND(I262&lt;&gt;"",TODAY()&gt;I262),"abgelaufen",IF(P262&lt;C262,"teilweise","offen"))))</f>
        <v/>
      </c>
    </row>
    <row r="263">
      <c r="A263" s="7" t="n"/>
      <c r="B263" s="8" t="n"/>
      <c r="C263" s="9" t="n"/>
      <c r="D263" s="10" t="n"/>
      <c r="E263" s="10" t="n"/>
      <c r="F263" s="10" t="n"/>
      <c r="G263" s="10" t="n"/>
      <c r="H263" s="10" t="n"/>
      <c r="I263" s="11">
        <f>IF(B263="","",DATE(YEAR(B263)+3,12,31))</f>
        <v/>
      </c>
      <c r="J263" s="8" t="n"/>
      <c r="K263" s="9" t="n"/>
      <c r="L263" s="8" t="n"/>
      <c r="M263" s="9" t="n"/>
      <c r="N263" s="8" t="n"/>
      <c r="O263" s="9" t="n"/>
      <c r="P263" s="12">
        <f>IF(C263="","",C263-SUM(K263,M263,O263))</f>
        <v/>
      </c>
      <c r="Q263" s="13">
        <f>IF(A263="","",IF(P263&lt;=0,"eingelöst",IF(AND(I263&lt;&gt;"",TODAY()&gt;I263),"abgelaufen",IF(P263&lt;C263,"teilweise","offen"))))</f>
        <v/>
      </c>
    </row>
    <row r="264">
      <c r="A264" s="7" t="n"/>
      <c r="B264" s="8" t="n"/>
      <c r="C264" s="9" t="n"/>
      <c r="D264" s="10" t="n"/>
      <c r="E264" s="10" t="n"/>
      <c r="F264" s="10" t="n"/>
      <c r="G264" s="10" t="n"/>
      <c r="H264" s="10" t="n"/>
      <c r="I264" s="11">
        <f>IF(B264="","",DATE(YEAR(B264)+3,12,31))</f>
        <v/>
      </c>
      <c r="J264" s="8" t="n"/>
      <c r="K264" s="9" t="n"/>
      <c r="L264" s="8" t="n"/>
      <c r="M264" s="9" t="n"/>
      <c r="N264" s="8" t="n"/>
      <c r="O264" s="9" t="n"/>
      <c r="P264" s="12">
        <f>IF(C264="","",C264-SUM(K264,M264,O264))</f>
        <v/>
      </c>
      <c r="Q264" s="13">
        <f>IF(A264="","",IF(P264&lt;=0,"eingelöst",IF(AND(I264&lt;&gt;"",TODAY()&gt;I264),"abgelaufen",IF(P264&lt;C264,"teilweise","offen"))))</f>
        <v/>
      </c>
    </row>
    <row r="265">
      <c r="A265" s="7" t="n"/>
      <c r="B265" s="8" t="n"/>
      <c r="C265" s="9" t="n"/>
      <c r="D265" s="10" t="n"/>
      <c r="E265" s="10" t="n"/>
      <c r="F265" s="10" t="n"/>
      <c r="G265" s="10" t="n"/>
      <c r="H265" s="10" t="n"/>
      <c r="I265" s="11">
        <f>IF(B265="","",DATE(YEAR(B265)+3,12,31))</f>
        <v/>
      </c>
      <c r="J265" s="8" t="n"/>
      <c r="K265" s="9" t="n"/>
      <c r="L265" s="8" t="n"/>
      <c r="M265" s="9" t="n"/>
      <c r="N265" s="8" t="n"/>
      <c r="O265" s="9" t="n"/>
      <c r="P265" s="12">
        <f>IF(C265="","",C265-SUM(K265,M265,O265))</f>
        <v/>
      </c>
      <c r="Q265" s="13">
        <f>IF(A265="","",IF(P265&lt;=0,"eingelöst",IF(AND(I265&lt;&gt;"",TODAY()&gt;I265),"abgelaufen",IF(P265&lt;C265,"teilweise","offen"))))</f>
        <v/>
      </c>
    </row>
    <row r="266">
      <c r="A266" s="7" t="n"/>
      <c r="B266" s="8" t="n"/>
      <c r="C266" s="9" t="n"/>
      <c r="D266" s="10" t="n"/>
      <c r="E266" s="10" t="n"/>
      <c r="F266" s="10" t="n"/>
      <c r="G266" s="10" t="n"/>
      <c r="H266" s="10" t="n"/>
      <c r="I266" s="11">
        <f>IF(B266="","",DATE(YEAR(B266)+3,12,31))</f>
        <v/>
      </c>
      <c r="J266" s="8" t="n"/>
      <c r="K266" s="9" t="n"/>
      <c r="L266" s="8" t="n"/>
      <c r="M266" s="9" t="n"/>
      <c r="N266" s="8" t="n"/>
      <c r="O266" s="9" t="n"/>
      <c r="P266" s="12">
        <f>IF(C266="","",C266-SUM(K266,M266,O266))</f>
        <v/>
      </c>
      <c r="Q266" s="13">
        <f>IF(A266="","",IF(P266&lt;=0,"eingelöst",IF(AND(I266&lt;&gt;"",TODAY()&gt;I266),"abgelaufen",IF(P266&lt;C266,"teilweise","offen"))))</f>
        <v/>
      </c>
    </row>
    <row r="267">
      <c r="A267" s="7" t="n"/>
      <c r="B267" s="8" t="n"/>
      <c r="C267" s="9" t="n"/>
      <c r="D267" s="10" t="n"/>
      <c r="E267" s="10" t="n"/>
      <c r="F267" s="10" t="n"/>
      <c r="G267" s="10" t="n"/>
      <c r="H267" s="10" t="n"/>
      <c r="I267" s="11">
        <f>IF(B267="","",DATE(YEAR(B267)+3,12,31))</f>
        <v/>
      </c>
      <c r="J267" s="8" t="n"/>
      <c r="K267" s="9" t="n"/>
      <c r="L267" s="8" t="n"/>
      <c r="M267" s="9" t="n"/>
      <c r="N267" s="8" t="n"/>
      <c r="O267" s="9" t="n"/>
      <c r="P267" s="12">
        <f>IF(C267="","",C267-SUM(K267,M267,O267))</f>
        <v/>
      </c>
      <c r="Q267" s="13">
        <f>IF(A267="","",IF(P267&lt;=0,"eingelöst",IF(AND(I267&lt;&gt;"",TODAY()&gt;I267),"abgelaufen",IF(P267&lt;C267,"teilweise","offen"))))</f>
        <v/>
      </c>
    </row>
    <row r="268">
      <c r="A268" s="7" t="n"/>
      <c r="B268" s="8" t="n"/>
      <c r="C268" s="9" t="n"/>
      <c r="D268" s="10" t="n"/>
      <c r="E268" s="10" t="n"/>
      <c r="F268" s="10" t="n"/>
      <c r="G268" s="10" t="n"/>
      <c r="H268" s="10" t="n"/>
      <c r="I268" s="11">
        <f>IF(B268="","",DATE(YEAR(B268)+3,12,31))</f>
        <v/>
      </c>
      <c r="J268" s="8" t="n"/>
      <c r="K268" s="9" t="n"/>
      <c r="L268" s="8" t="n"/>
      <c r="M268" s="9" t="n"/>
      <c r="N268" s="8" t="n"/>
      <c r="O268" s="9" t="n"/>
      <c r="P268" s="12">
        <f>IF(C268="","",C268-SUM(K268,M268,O268))</f>
        <v/>
      </c>
      <c r="Q268" s="13">
        <f>IF(A268="","",IF(P268&lt;=0,"eingelöst",IF(AND(I268&lt;&gt;"",TODAY()&gt;I268),"abgelaufen",IF(P268&lt;C268,"teilweise","offen"))))</f>
        <v/>
      </c>
    </row>
    <row r="269">
      <c r="A269" s="7" t="n"/>
      <c r="B269" s="8" t="n"/>
      <c r="C269" s="9" t="n"/>
      <c r="D269" s="10" t="n"/>
      <c r="E269" s="10" t="n"/>
      <c r="F269" s="10" t="n"/>
      <c r="G269" s="10" t="n"/>
      <c r="H269" s="10" t="n"/>
      <c r="I269" s="11">
        <f>IF(B269="","",DATE(YEAR(B269)+3,12,31))</f>
        <v/>
      </c>
      <c r="J269" s="8" t="n"/>
      <c r="K269" s="9" t="n"/>
      <c r="L269" s="8" t="n"/>
      <c r="M269" s="9" t="n"/>
      <c r="N269" s="8" t="n"/>
      <c r="O269" s="9" t="n"/>
      <c r="P269" s="12">
        <f>IF(C269="","",C269-SUM(K269,M269,O269))</f>
        <v/>
      </c>
      <c r="Q269" s="13">
        <f>IF(A269="","",IF(P269&lt;=0,"eingelöst",IF(AND(I269&lt;&gt;"",TODAY()&gt;I269),"abgelaufen",IF(P269&lt;C269,"teilweise","offen"))))</f>
        <v/>
      </c>
    </row>
    <row r="270">
      <c r="A270" s="7" t="n"/>
      <c r="B270" s="8" t="n"/>
      <c r="C270" s="9" t="n"/>
      <c r="D270" s="10" t="n"/>
      <c r="E270" s="10" t="n"/>
      <c r="F270" s="10" t="n"/>
      <c r="G270" s="10" t="n"/>
      <c r="H270" s="10" t="n"/>
      <c r="I270" s="11">
        <f>IF(B270="","",DATE(YEAR(B270)+3,12,31))</f>
        <v/>
      </c>
      <c r="J270" s="8" t="n"/>
      <c r="K270" s="9" t="n"/>
      <c r="L270" s="8" t="n"/>
      <c r="M270" s="9" t="n"/>
      <c r="N270" s="8" t="n"/>
      <c r="O270" s="9" t="n"/>
      <c r="P270" s="12">
        <f>IF(C270="","",C270-SUM(K270,M270,O270))</f>
        <v/>
      </c>
      <c r="Q270" s="13">
        <f>IF(A270="","",IF(P270&lt;=0,"eingelöst",IF(AND(I270&lt;&gt;"",TODAY()&gt;I270),"abgelaufen",IF(P270&lt;C270,"teilweise","offen"))))</f>
        <v/>
      </c>
    </row>
    <row r="271">
      <c r="A271" s="7" t="n"/>
      <c r="B271" s="8" t="n"/>
      <c r="C271" s="9" t="n"/>
      <c r="D271" s="10" t="n"/>
      <c r="E271" s="10" t="n"/>
      <c r="F271" s="10" t="n"/>
      <c r="G271" s="10" t="n"/>
      <c r="H271" s="10" t="n"/>
      <c r="I271" s="11">
        <f>IF(B271="","",DATE(YEAR(B271)+3,12,31))</f>
        <v/>
      </c>
      <c r="J271" s="8" t="n"/>
      <c r="K271" s="9" t="n"/>
      <c r="L271" s="8" t="n"/>
      <c r="M271" s="9" t="n"/>
      <c r="N271" s="8" t="n"/>
      <c r="O271" s="9" t="n"/>
      <c r="P271" s="12">
        <f>IF(C271="","",C271-SUM(K271,M271,O271))</f>
        <v/>
      </c>
      <c r="Q271" s="13">
        <f>IF(A271="","",IF(P271&lt;=0,"eingelöst",IF(AND(I271&lt;&gt;"",TODAY()&gt;I271),"abgelaufen",IF(P271&lt;C271,"teilweise","offen"))))</f>
        <v/>
      </c>
    </row>
    <row r="272">
      <c r="A272" s="7" t="n"/>
      <c r="B272" s="8" t="n"/>
      <c r="C272" s="9" t="n"/>
      <c r="D272" s="10" t="n"/>
      <c r="E272" s="10" t="n"/>
      <c r="F272" s="10" t="n"/>
      <c r="G272" s="10" t="n"/>
      <c r="H272" s="10" t="n"/>
      <c r="I272" s="11">
        <f>IF(B272="","",DATE(YEAR(B272)+3,12,31))</f>
        <v/>
      </c>
      <c r="J272" s="8" t="n"/>
      <c r="K272" s="9" t="n"/>
      <c r="L272" s="8" t="n"/>
      <c r="M272" s="9" t="n"/>
      <c r="N272" s="8" t="n"/>
      <c r="O272" s="9" t="n"/>
      <c r="P272" s="12">
        <f>IF(C272="","",C272-SUM(K272,M272,O272))</f>
        <v/>
      </c>
      <c r="Q272" s="13">
        <f>IF(A272="","",IF(P272&lt;=0,"eingelöst",IF(AND(I272&lt;&gt;"",TODAY()&gt;I272),"abgelaufen",IF(P272&lt;C272,"teilweise","offen"))))</f>
        <v/>
      </c>
    </row>
    <row r="273">
      <c r="A273" s="7" t="n"/>
      <c r="B273" s="8" t="n"/>
      <c r="C273" s="9" t="n"/>
      <c r="D273" s="10" t="n"/>
      <c r="E273" s="10" t="n"/>
      <c r="F273" s="10" t="n"/>
      <c r="G273" s="10" t="n"/>
      <c r="H273" s="10" t="n"/>
      <c r="I273" s="11">
        <f>IF(B273="","",DATE(YEAR(B273)+3,12,31))</f>
        <v/>
      </c>
      <c r="J273" s="8" t="n"/>
      <c r="K273" s="9" t="n"/>
      <c r="L273" s="8" t="n"/>
      <c r="M273" s="9" t="n"/>
      <c r="N273" s="8" t="n"/>
      <c r="O273" s="9" t="n"/>
      <c r="P273" s="12">
        <f>IF(C273="","",C273-SUM(K273,M273,O273))</f>
        <v/>
      </c>
      <c r="Q273" s="13">
        <f>IF(A273="","",IF(P273&lt;=0,"eingelöst",IF(AND(I273&lt;&gt;"",TODAY()&gt;I273),"abgelaufen",IF(P273&lt;C273,"teilweise","offen"))))</f>
        <v/>
      </c>
    </row>
    <row r="274">
      <c r="A274" s="7" t="n"/>
      <c r="B274" s="8" t="n"/>
      <c r="C274" s="9" t="n"/>
      <c r="D274" s="10" t="n"/>
      <c r="E274" s="10" t="n"/>
      <c r="F274" s="10" t="n"/>
      <c r="G274" s="10" t="n"/>
      <c r="H274" s="10" t="n"/>
      <c r="I274" s="11">
        <f>IF(B274="","",DATE(YEAR(B274)+3,12,31))</f>
        <v/>
      </c>
      <c r="J274" s="8" t="n"/>
      <c r="K274" s="9" t="n"/>
      <c r="L274" s="8" t="n"/>
      <c r="M274" s="9" t="n"/>
      <c r="N274" s="8" t="n"/>
      <c r="O274" s="9" t="n"/>
      <c r="P274" s="12">
        <f>IF(C274="","",C274-SUM(K274,M274,O274))</f>
        <v/>
      </c>
      <c r="Q274" s="13">
        <f>IF(A274="","",IF(P274&lt;=0,"eingelöst",IF(AND(I274&lt;&gt;"",TODAY()&gt;I274),"abgelaufen",IF(P274&lt;C274,"teilweise","offen"))))</f>
        <v/>
      </c>
    </row>
    <row r="275">
      <c r="A275" s="7" t="n"/>
      <c r="B275" s="8" t="n"/>
      <c r="C275" s="9" t="n"/>
      <c r="D275" s="10" t="n"/>
      <c r="E275" s="10" t="n"/>
      <c r="F275" s="10" t="n"/>
      <c r="G275" s="10" t="n"/>
      <c r="H275" s="10" t="n"/>
      <c r="I275" s="11">
        <f>IF(B275="","",DATE(YEAR(B275)+3,12,31))</f>
        <v/>
      </c>
      <c r="J275" s="8" t="n"/>
      <c r="K275" s="9" t="n"/>
      <c r="L275" s="8" t="n"/>
      <c r="M275" s="9" t="n"/>
      <c r="N275" s="8" t="n"/>
      <c r="O275" s="9" t="n"/>
      <c r="P275" s="12">
        <f>IF(C275="","",C275-SUM(K275,M275,O275))</f>
        <v/>
      </c>
      <c r="Q275" s="13">
        <f>IF(A275="","",IF(P275&lt;=0,"eingelöst",IF(AND(I275&lt;&gt;"",TODAY()&gt;I275),"abgelaufen",IF(P275&lt;C275,"teilweise","offen"))))</f>
        <v/>
      </c>
    </row>
    <row r="276">
      <c r="A276" s="7" t="n"/>
      <c r="B276" s="8" t="n"/>
      <c r="C276" s="9" t="n"/>
      <c r="D276" s="10" t="n"/>
      <c r="E276" s="10" t="n"/>
      <c r="F276" s="10" t="n"/>
      <c r="G276" s="10" t="n"/>
      <c r="H276" s="10" t="n"/>
      <c r="I276" s="11">
        <f>IF(B276="","",DATE(YEAR(B276)+3,12,31))</f>
        <v/>
      </c>
      <c r="J276" s="8" t="n"/>
      <c r="K276" s="9" t="n"/>
      <c r="L276" s="8" t="n"/>
      <c r="M276" s="9" t="n"/>
      <c r="N276" s="8" t="n"/>
      <c r="O276" s="9" t="n"/>
      <c r="P276" s="12">
        <f>IF(C276="","",C276-SUM(K276,M276,O276))</f>
        <v/>
      </c>
      <c r="Q276" s="13">
        <f>IF(A276="","",IF(P276&lt;=0,"eingelöst",IF(AND(I276&lt;&gt;"",TODAY()&gt;I276),"abgelaufen",IF(P276&lt;C276,"teilweise","offen"))))</f>
        <v/>
      </c>
    </row>
    <row r="277">
      <c r="A277" s="7" t="n"/>
      <c r="B277" s="8" t="n"/>
      <c r="C277" s="9" t="n"/>
      <c r="D277" s="10" t="n"/>
      <c r="E277" s="10" t="n"/>
      <c r="F277" s="10" t="n"/>
      <c r="G277" s="10" t="n"/>
      <c r="H277" s="10" t="n"/>
      <c r="I277" s="11">
        <f>IF(B277="","",DATE(YEAR(B277)+3,12,31))</f>
        <v/>
      </c>
      <c r="J277" s="8" t="n"/>
      <c r="K277" s="9" t="n"/>
      <c r="L277" s="8" t="n"/>
      <c r="M277" s="9" t="n"/>
      <c r="N277" s="8" t="n"/>
      <c r="O277" s="9" t="n"/>
      <c r="P277" s="12">
        <f>IF(C277="","",C277-SUM(K277,M277,O277))</f>
        <v/>
      </c>
      <c r="Q277" s="13">
        <f>IF(A277="","",IF(P277&lt;=0,"eingelöst",IF(AND(I277&lt;&gt;"",TODAY()&gt;I277),"abgelaufen",IF(P277&lt;C277,"teilweise","offen"))))</f>
        <v/>
      </c>
    </row>
    <row r="278">
      <c r="A278" s="7" t="n"/>
      <c r="B278" s="8" t="n"/>
      <c r="C278" s="9" t="n"/>
      <c r="D278" s="10" t="n"/>
      <c r="E278" s="10" t="n"/>
      <c r="F278" s="10" t="n"/>
      <c r="G278" s="10" t="n"/>
      <c r="H278" s="10" t="n"/>
      <c r="I278" s="11">
        <f>IF(B278="","",DATE(YEAR(B278)+3,12,31))</f>
        <v/>
      </c>
      <c r="J278" s="8" t="n"/>
      <c r="K278" s="9" t="n"/>
      <c r="L278" s="8" t="n"/>
      <c r="M278" s="9" t="n"/>
      <c r="N278" s="8" t="n"/>
      <c r="O278" s="9" t="n"/>
      <c r="P278" s="12">
        <f>IF(C278="","",C278-SUM(K278,M278,O278))</f>
        <v/>
      </c>
      <c r="Q278" s="13">
        <f>IF(A278="","",IF(P278&lt;=0,"eingelöst",IF(AND(I278&lt;&gt;"",TODAY()&gt;I278),"abgelaufen",IF(P278&lt;C278,"teilweise","offen"))))</f>
        <v/>
      </c>
    </row>
    <row r="279">
      <c r="A279" s="7" t="n"/>
      <c r="B279" s="8" t="n"/>
      <c r="C279" s="9" t="n"/>
      <c r="D279" s="10" t="n"/>
      <c r="E279" s="10" t="n"/>
      <c r="F279" s="10" t="n"/>
      <c r="G279" s="10" t="n"/>
      <c r="H279" s="10" t="n"/>
      <c r="I279" s="11">
        <f>IF(B279="","",DATE(YEAR(B279)+3,12,31))</f>
        <v/>
      </c>
      <c r="J279" s="8" t="n"/>
      <c r="K279" s="9" t="n"/>
      <c r="L279" s="8" t="n"/>
      <c r="M279" s="9" t="n"/>
      <c r="N279" s="8" t="n"/>
      <c r="O279" s="9" t="n"/>
      <c r="P279" s="12">
        <f>IF(C279="","",C279-SUM(K279,M279,O279))</f>
        <v/>
      </c>
      <c r="Q279" s="13">
        <f>IF(A279="","",IF(P279&lt;=0,"eingelöst",IF(AND(I279&lt;&gt;"",TODAY()&gt;I279),"abgelaufen",IF(P279&lt;C279,"teilweise","offen"))))</f>
        <v/>
      </c>
    </row>
    <row r="280">
      <c r="A280" s="7" t="n"/>
      <c r="B280" s="8" t="n"/>
      <c r="C280" s="9" t="n"/>
      <c r="D280" s="10" t="n"/>
      <c r="E280" s="10" t="n"/>
      <c r="F280" s="10" t="n"/>
      <c r="G280" s="10" t="n"/>
      <c r="H280" s="10" t="n"/>
      <c r="I280" s="11">
        <f>IF(B280="","",DATE(YEAR(B280)+3,12,31))</f>
        <v/>
      </c>
      <c r="J280" s="8" t="n"/>
      <c r="K280" s="9" t="n"/>
      <c r="L280" s="8" t="n"/>
      <c r="M280" s="9" t="n"/>
      <c r="N280" s="8" t="n"/>
      <c r="O280" s="9" t="n"/>
      <c r="P280" s="12">
        <f>IF(C280="","",C280-SUM(K280,M280,O280))</f>
        <v/>
      </c>
      <c r="Q280" s="13">
        <f>IF(A280="","",IF(P280&lt;=0,"eingelöst",IF(AND(I280&lt;&gt;"",TODAY()&gt;I280),"abgelaufen",IF(P280&lt;C280,"teilweise","offen"))))</f>
        <v/>
      </c>
    </row>
    <row r="281">
      <c r="A281" s="7" t="n"/>
      <c r="B281" s="8" t="n"/>
      <c r="C281" s="9" t="n"/>
      <c r="D281" s="10" t="n"/>
      <c r="E281" s="10" t="n"/>
      <c r="F281" s="10" t="n"/>
      <c r="G281" s="10" t="n"/>
      <c r="H281" s="10" t="n"/>
      <c r="I281" s="11">
        <f>IF(B281="","",DATE(YEAR(B281)+3,12,31))</f>
        <v/>
      </c>
      <c r="J281" s="8" t="n"/>
      <c r="K281" s="9" t="n"/>
      <c r="L281" s="8" t="n"/>
      <c r="M281" s="9" t="n"/>
      <c r="N281" s="8" t="n"/>
      <c r="O281" s="9" t="n"/>
      <c r="P281" s="12">
        <f>IF(C281="","",C281-SUM(K281,M281,O281))</f>
        <v/>
      </c>
      <c r="Q281" s="13">
        <f>IF(A281="","",IF(P281&lt;=0,"eingelöst",IF(AND(I281&lt;&gt;"",TODAY()&gt;I281),"abgelaufen",IF(P281&lt;C281,"teilweise","offen"))))</f>
        <v/>
      </c>
    </row>
    <row r="282">
      <c r="A282" s="7" t="n"/>
      <c r="B282" s="8" t="n"/>
      <c r="C282" s="9" t="n"/>
      <c r="D282" s="10" t="n"/>
      <c r="E282" s="10" t="n"/>
      <c r="F282" s="10" t="n"/>
      <c r="G282" s="10" t="n"/>
      <c r="H282" s="10" t="n"/>
      <c r="I282" s="11">
        <f>IF(B282="","",DATE(YEAR(B282)+3,12,31))</f>
        <v/>
      </c>
      <c r="J282" s="8" t="n"/>
      <c r="K282" s="9" t="n"/>
      <c r="L282" s="8" t="n"/>
      <c r="M282" s="9" t="n"/>
      <c r="N282" s="8" t="n"/>
      <c r="O282" s="9" t="n"/>
      <c r="P282" s="12">
        <f>IF(C282="","",C282-SUM(K282,M282,O282))</f>
        <v/>
      </c>
      <c r="Q282" s="13">
        <f>IF(A282="","",IF(P282&lt;=0,"eingelöst",IF(AND(I282&lt;&gt;"",TODAY()&gt;I282),"abgelaufen",IF(P282&lt;C282,"teilweise","offen"))))</f>
        <v/>
      </c>
    </row>
    <row r="283">
      <c r="A283" s="7" t="n"/>
      <c r="B283" s="8" t="n"/>
      <c r="C283" s="9" t="n"/>
      <c r="D283" s="10" t="n"/>
      <c r="E283" s="10" t="n"/>
      <c r="F283" s="10" t="n"/>
      <c r="G283" s="10" t="n"/>
      <c r="H283" s="10" t="n"/>
      <c r="I283" s="11">
        <f>IF(B283="","",DATE(YEAR(B283)+3,12,31))</f>
        <v/>
      </c>
      <c r="J283" s="8" t="n"/>
      <c r="K283" s="9" t="n"/>
      <c r="L283" s="8" t="n"/>
      <c r="M283" s="9" t="n"/>
      <c r="N283" s="8" t="n"/>
      <c r="O283" s="9" t="n"/>
      <c r="P283" s="12">
        <f>IF(C283="","",C283-SUM(K283,M283,O283))</f>
        <v/>
      </c>
      <c r="Q283" s="13">
        <f>IF(A283="","",IF(P283&lt;=0,"eingelöst",IF(AND(I283&lt;&gt;"",TODAY()&gt;I283),"abgelaufen",IF(P283&lt;C283,"teilweise","offen"))))</f>
        <v/>
      </c>
    </row>
    <row r="284">
      <c r="A284" s="7" t="n"/>
      <c r="B284" s="8" t="n"/>
      <c r="C284" s="9" t="n"/>
      <c r="D284" s="10" t="n"/>
      <c r="E284" s="10" t="n"/>
      <c r="F284" s="10" t="n"/>
      <c r="G284" s="10" t="n"/>
      <c r="H284" s="10" t="n"/>
      <c r="I284" s="11">
        <f>IF(B284="","",DATE(YEAR(B284)+3,12,31))</f>
        <v/>
      </c>
      <c r="J284" s="8" t="n"/>
      <c r="K284" s="9" t="n"/>
      <c r="L284" s="8" t="n"/>
      <c r="M284" s="9" t="n"/>
      <c r="N284" s="8" t="n"/>
      <c r="O284" s="9" t="n"/>
      <c r="P284" s="12">
        <f>IF(C284="","",C284-SUM(K284,M284,O284))</f>
        <v/>
      </c>
      <c r="Q284" s="13">
        <f>IF(A284="","",IF(P284&lt;=0,"eingelöst",IF(AND(I284&lt;&gt;"",TODAY()&gt;I284),"abgelaufen",IF(P284&lt;C284,"teilweise","offen"))))</f>
        <v/>
      </c>
    </row>
    <row r="285">
      <c r="A285" s="7" t="n"/>
      <c r="B285" s="8" t="n"/>
      <c r="C285" s="9" t="n"/>
      <c r="D285" s="10" t="n"/>
      <c r="E285" s="10" t="n"/>
      <c r="F285" s="10" t="n"/>
      <c r="G285" s="10" t="n"/>
      <c r="H285" s="10" t="n"/>
      <c r="I285" s="11">
        <f>IF(B285="","",DATE(YEAR(B285)+3,12,31))</f>
        <v/>
      </c>
      <c r="J285" s="8" t="n"/>
      <c r="K285" s="9" t="n"/>
      <c r="L285" s="8" t="n"/>
      <c r="M285" s="9" t="n"/>
      <c r="N285" s="8" t="n"/>
      <c r="O285" s="9" t="n"/>
      <c r="P285" s="12">
        <f>IF(C285="","",C285-SUM(K285,M285,O285))</f>
        <v/>
      </c>
      <c r="Q285" s="13">
        <f>IF(A285="","",IF(P285&lt;=0,"eingelöst",IF(AND(I285&lt;&gt;"",TODAY()&gt;I285),"abgelaufen",IF(P285&lt;C285,"teilweise","offen"))))</f>
        <v/>
      </c>
    </row>
    <row r="286">
      <c r="A286" s="7" t="n"/>
      <c r="B286" s="8" t="n"/>
      <c r="C286" s="9" t="n"/>
      <c r="D286" s="10" t="n"/>
      <c r="E286" s="10" t="n"/>
      <c r="F286" s="10" t="n"/>
      <c r="G286" s="10" t="n"/>
      <c r="H286" s="10" t="n"/>
      <c r="I286" s="11">
        <f>IF(B286="","",DATE(YEAR(B286)+3,12,31))</f>
        <v/>
      </c>
      <c r="J286" s="8" t="n"/>
      <c r="K286" s="9" t="n"/>
      <c r="L286" s="8" t="n"/>
      <c r="M286" s="9" t="n"/>
      <c r="N286" s="8" t="n"/>
      <c r="O286" s="9" t="n"/>
      <c r="P286" s="12">
        <f>IF(C286="","",C286-SUM(K286,M286,O286))</f>
        <v/>
      </c>
      <c r="Q286" s="13">
        <f>IF(A286="","",IF(P286&lt;=0,"eingelöst",IF(AND(I286&lt;&gt;"",TODAY()&gt;I286),"abgelaufen",IF(P286&lt;C286,"teilweise","offen"))))</f>
        <v/>
      </c>
    </row>
    <row r="287">
      <c r="A287" s="7" t="n"/>
      <c r="B287" s="8" t="n"/>
      <c r="C287" s="9" t="n"/>
      <c r="D287" s="10" t="n"/>
      <c r="E287" s="10" t="n"/>
      <c r="F287" s="10" t="n"/>
      <c r="G287" s="10" t="n"/>
      <c r="H287" s="10" t="n"/>
      <c r="I287" s="11">
        <f>IF(B287="","",DATE(YEAR(B287)+3,12,31))</f>
        <v/>
      </c>
      <c r="J287" s="8" t="n"/>
      <c r="K287" s="9" t="n"/>
      <c r="L287" s="8" t="n"/>
      <c r="M287" s="9" t="n"/>
      <c r="N287" s="8" t="n"/>
      <c r="O287" s="9" t="n"/>
      <c r="P287" s="12">
        <f>IF(C287="","",C287-SUM(K287,M287,O287))</f>
        <v/>
      </c>
      <c r="Q287" s="13">
        <f>IF(A287="","",IF(P287&lt;=0,"eingelöst",IF(AND(I287&lt;&gt;"",TODAY()&gt;I287),"abgelaufen",IF(P287&lt;C287,"teilweise","offen"))))</f>
        <v/>
      </c>
    </row>
    <row r="288">
      <c r="A288" s="7" t="n"/>
      <c r="B288" s="8" t="n"/>
      <c r="C288" s="9" t="n"/>
      <c r="D288" s="10" t="n"/>
      <c r="E288" s="10" t="n"/>
      <c r="F288" s="10" t="n"/>
      <c r="G288" s="10" t="n"/>
      <c r="H288" s="10" t="n"/>
      <c r="I288" s="11">
        <f>IF(B288="","",DATE(YEAR(B288)+3,12,31))</f>
        <v/>
      </c>
      <c r="J288" s="8" t="n"/>
      <c r="K288" s="9" t="n"/>
      <c r="L288" s="8" t="n"/>
      <c r="M288" s="9" t="n"/>
      <c r="N288" s="8" t="n"/>
      <c r="O288" s="9" t="n"/>
      <c r="P288" s="12">
        <f>IF(C288="","",C288-SUM(K288,M288,O288))</f>
        <v/>
      </c>
      <c r="Q288" s="13">
        <f>IF(A288="","",IF(P288&lt;=0,"eingelöst",IF(AND(I288&lt;&gt;"",TODAY()&gt;I288),"abgelaufen",IF(P288&lt;C288,"teilweise","offen"))))</f>
        <v/>
      </c>
    </row>
    <row r="289">
      <c r="A289" s="7" t="n"/>
      <c r="B289" s="8" t="n"/>
      <c r="C289" s="9" t="n"/>
      <c r="D289" s="10" t="n"/>
      <c r="E289" s="10" t="n"/>
      <c r="F289" s="10" t="n"/>
      <c r="G289" s="10" t="n"/>
      <c r="H289" s="10" t="n"/>
      <c r="I289" s="11">
        <f>IF(B289="","",DATE(YEAR(B289)+3,12,31))</f>
        <v/>
      </c>
      <c r="J289" s="8" t="n"/>
      <c r="K289" s="9" t="n"/>
      <c r="L289" s="8" t="n"/>
      <c r="M289" s="9" t="n"/>
      <c r="N289" s="8" t="n"/>
      <c r="O289" s="9" t="n"/>
      <c r="P289" s="12">
        <f>IF(C289="","",C289-SUM(K289,M289,O289))</f>
        <v/>
      </c>
      <c r="Q289" s="13">
        <f>IF(A289="","",IF(P289&lt;=0,"eingelöst",IF(AND(I289&lt;&gt;"",TODAY()&gt;I289),"abgelaufen",IF(P289&lt;C289,"teilweise","offen"))))</f>
        <v/>
      </c>
    </row>
    <row r="290">
      <c r="A290" s="7" t="n"/>
      <c r="B290" s="8" t="n"/>
      <c r="C290" s="9" t="n"/>
      <c r="D290" s="10" t="n"/>
      <c r="E290" s="10" t="n"/>
      <c r="F290" s="10" t="n"/>
      <c r="G290" s="10" t="n"/>
      <c r="H290" s="10" t="n"/>
      <c r="I290" s="11">
        <f>IF(B290="","",DATE(YEAR(B290)+3,12,31))</f>
        <v/>
      </c>
      <c r="J290" s="8" t="n"/>
      <c r="K290" s="9" t="n"/>
      <c r="L290" s="8" t="n"/>
      <c r="M290" s="9" t="n"/>
      <c r="N290" s="8" t="n"/>
      <c r="O290" s="9" t="n"/>
      <c r="P290" s="12">
        <f>IF(C290="","",C290-SUM(K290,M290,O290))</f>
        <v/>
      </c>
      <c r="Q290" s="13">
        <f>IF(A290="","",IF(P290&lt;=0,"eingelöst",IF(AND(I290&lt;&gt;"",TODAY()&gt;I290),"abgelaufen",IF(P290&lt;C290,"teilweise","offen"))))</f>
        <v/>
      </c>
    </row>
    <row r="291">
      <c r="A291" s="7" t="n"/>
      <c r="B291" s="8" t="n"/>
      <c r="C291" s="9" t="n"/>
      <c r="D291" s="10" t="n"/>
      <c r="E291" s="10" t="n"/>
      <c r="F291" s="10" t="n"/>
      <c r="G291" s="10" t="n"/>
      <c r="H291" s="10" t="n"/>
      <c r="I291" s="11">
        <f>IF(B291="","",DATE(YEAR(B291)+3,12,31))</f>
        <v/>
      </c>
      <c r="J291" s="8" t="n"/>
      <c r="K291" s="9" t="n"/>
      <c r="L291" s="8" t="n"/>
      <c r="M291" s="9" t="n"/>
      <c r="N291" s="8" t="n"/>
      <c r="O291" s="9" t="n"/>
      <c r="P291" s="12">
        <f>IF(C291="","",C291-SUM(K291,M291,O291))</f>
        <v/>
      </c>
      <c r="Q291" s="13">
        <f>IF(A291="","",IF(P291&lt;=0,"eingelöst",IF(AND(I291&lt;&gt;"",TODAY()&gt;I291),"abgelaufen",IF(P291&lt;C291,"teilweise","offen"))))</f>
        <v/>
      </c>
    </row>
    <row r="292">
      <c r="A292" s="7" t="n"/>
      <c r="B292" s="8" t="n"/>
      <c r="C292" s="9" t="n"/>
      <c r="D292" s="10" t="n"/>
      <c r="E292" s="10" t="n"/>
      <c r="F292" s="10" t="n"/>
      <c r="G292" s="10" t="n"/>
      <c r="H292" s="10" t="n"/>
      <c r="I292" s="11">
        <f>IF(B292="","",DATE(YEAR(B292)+3,12,31))</f>
        <v/>
      </c>
      <c r="J292" s="8" t="n"/>
      <c r="K292" s="9" t="n"/>
      <c r="L292" s="8" t="n"/>
      <c r="M292" s="9" t="n"/>
      <c r="N292" s="8" t="n"/>
      <c r="O292" s="9" t="n"/>
      <c r="P292" s="12">
        <f>IF(C292="","",C292-SUM(K292,M292,O292))</f>
        <v/>
      </c>
      <c r="Q292" s="13">
        <f>IF(A292="","",IF(P292&lt;=0,"eingelöst",IF(AND(I292&lt;&gt;"",TODAY()&gt;I292),"abgelaufen",IF(P292&lt;C292,"teilweise","offen"))))</f>
        <v/>
      </c>
    </row>
    <row r="293">
      <c r="A293" s="7" t="n"/>
      <c r="B293" s="8" t="n"/>
      <c r="C293" s="9" t="n"/>
      <c r="D293" s="10" t="n"/>
      <c r="E293" s="10" t="n"/>
      <c r="F293" s="10" t="n"/>
      <c r="G293" s="10" t="n"/>
      <c r="H293" s="10" t="n"/>
      <c r="I293" s="11">
        <f>IF(B293="","",DATE(YEAR(B293)+3,12,31))</f>
        <v/>
      </c>
      <c r="J293" s="8" t="n"/>
      <c r="K293" s="9" t="n"/>
      <c r="L293" s="8" t="n"/>
      <c r="M293" s="9" t="n"/>
      <c r="N293" s="8" t="n"/>
      <c r="O293" s="9" t="n"/>
      <c r="P293" s="12">
        <f>IF(C293="","",C293-SUM(K293,M293,O293))</f>
        <v/>
      </c>
      <c r="Q293" s="13">
        <f>IF(A293="","",IF(P293&lt;=0,"eingelöst",IF(AND(I293&lt;&gt;"",TODAY()&gt;I293),"abgelaufen",IF(P293&lt;C293,"teilweise","offen"))))</f>
        <v/>
      </c>
    </row>
    <row r="294">
      <c r="A294" s="7" t="n"/>
      <c r="B294" s="8" t="n"/>
      <c r="C294" s="9" t="n"/>
      <c r="D294" s="10" t="n"/>
      <c r="E294" s="10" t="n"/>
      <c r="F294" s="10" t="n"/>
      <c r="G294" s="10" t="n"/>
      <c r="H294" s="10" t="n"/>
      <c r="I294" s="11">
        <f>IF(B294="","",DATE(YEAR(B294)+3,12,31))</f>
        <v/>
      </c>
      <c r="J294" s="8" t="n"/>
      <c r="K294" s="9" t="n"/>
      <c r="L294" s="8" t="n"/>
      <c r="M294" s="9" t="n"/>
      <c r="N294" s="8" t="n"/>
      <c r="O294" s="9" t="n"/>
      <c r="P294" s="12">
        <f>IF(C294="","",C294-SUM(K294,M294,O294))</f>
        <v/>
      </c>
      <c r="Q294" s="13">
        <f>IF(A294="","",IF(P294&lt;=0,"eingelöst",IF(AND(I294&lt;&gt;"",TODAY()&gt;I294),"abgelaufen",IF(P294&lt;C294,"teilweise","offen"))))</f>
        <v/>
      </c>
    </row>
    <row r="295">
      <c r="A295" s="7" t="n"/>
      <c r="B295" s="8" t="n"/>
      <c r="C295" s="9" t="n"/>
      <c r="D295" s="10" t="n"/>
      <c r="E295" s="10" t="n"/>
      <c r="F295" s="10" t="n"/>
      <c r="G295" s="10" t="n"/>
      <c r="H295" s="10" t="n"/>
      <c r="I295" s="11">
        <f>IF(B295="","",DATE(YEAR(B295)+3,12,31))</f>
        <v/>
      </c>
      <c r="J295" s="8" t="n"/>
      <c r="K295" s="9" t="n"/>
      <c r="L295" s="8" t="n"/>
      <c r="M295" s="9" t="n"/>
      <c r="N295" s="8" t="n"/>
      <c r="O295" s="9" t="n"/>
      <c r="P295" s="12">
        <f>IF(C295="","",C295-SUM(K295,M295,O295))</f>
        <v/>
      </c>
      <c r="Q295" s="13">
        <f>IF(A295="","",IF(P295&lt;=0,"eingelöst",IF(AND(I295&lt;&gt;"",TODAY()&gt;I295),"abgelaufen",IF(P295&lt;C295,"teilweise","offen"))))</f>
        <v/>
      </c>
    </row>
    <row r="296">
      <c r="A296" s="7" t="n"/>
      <c r="B296" s="8" t="n"/>
      <c r="C296" s="9" t="n"/>
      <c r="D296" s="10" t="n"/>
      <c r="E296" s="10" t="n"/>
      <c r="F296" s="10" t="n"/>
      <c r="G296" s="10" t="n"/>
      <c r="H296" s="10" t="n"/>
      <c r="I296" s="11">
        <f>IF(B296="","",DATE(YEAR(B296)+3,12,31))</f>
        <v/>
      </c>
      <c r="J296" s="8" t="n"/>
      <c r="K296" s="9" t="n"/>
      <c r="L296" s="8" t="n"/>
      <c r="M296" s="9" t="n"/>
      <c r="N296" s="8" t="n"/>
      <c r="O296" s="9" t="n"/>
      <c r="P296" s="12">
        <f>IF(C296="","",C296-SUM(K296,M296,O296))</f>
        <v/>
      </c>
      <c r="Q296" s="13">
        <f>IF(A296="","",IF(P296&lt;=0,"eingelöst",IF(AND(I296&lt;&gt;"",TODAY()&gt;I296),"abgelaufen",IF(P296&lt;C296,"teilweise","offen"))))</f>
        <v/>
      </c>
    </row>
    <row r="297">
      <c r="A297" s="7" t="n"/>
      <c r="B297" s="8" t="n"/>
      <c r="C297" s="9" t="n"/>
      <c r="D297" s="10" t="n"/>
      <c r="E297" s="10" t="n"/>
      <c r="F297" s="10" t="n"/>
      <c r="G297" s="10" t="n"/>
      <c r="H297" s="10" t="n"/>
      <c r="I297" s="11">
        <f>IF(B297="","",DATE(YEAR(B297)+3,12,31))</f>
        <v/>
      </c>
      <c r="J297" s="8" t="n"/>
      <c r="K297" s="9" t="n"/>
      <c r="L297" s="8" t="n"/>
      <c r="M297" s="9" t="n"/>
      <c r="N297" s="8" t="n"/>
      <c r="O297" s="9" t="n"/>
      <c r="P297" s="12">
        <f>IF(C297="","",C297-SUM(K297,M297,O297))</f>
        <v/>
      </c>
      <c r="Q297" s="13">
        <f>IF(A297="","",IF(P297&lt;=0,"eingelöst",IF(AND(I297&lt;&gt;"",TODAY()&gt;I297),"abgelaufen",IF(P297&lt;C297,"teilweise","offen"))))</f>
        <v/>
      </c>
    </row>
    <row r="298">
      <c r="A298" s="7" t="n"/>
      <c r="B298" s="8" t="n"/>
      <c r="C298" s="9" t="n"/>
      <c r="D298" s="10" t="n"/>
      <c r="E298" s="10" t="n"/>
      <c r="F298" s="10" t="n"/>
      <c r="G298" s="10" t="n"/>
      <c r="H298" s="10" t="n"/>
      <c r="I298" s="11">
        <f>IF(B298="","",DATE(YEAR(B298)+3,12,31))</f>
        <v/>
      </c>
      <c r="J298" s="8" t="n"/>
      <c r="K298" s="9" t="n"/>
      <c r="L298" s="8" t="n"/>
      <c r="M298" s="9" t="n"/>
      <c r="N298" s="8" t="n"/>
      <c r="O298" s="9" t="n"/>
      <c r="P298" s="12">
        <f>IF(C298="","",C298-SUM(K298,M298,O298))</f>
        <v/>
      </c>
      <c r="Q298" s="13">
        <f>IF(A298="","",IF(P298&lt;=0,"eingelöst",IF(AND(I298&lt;&gt;"",TODAY()&gt;I298),"abgelaufen",IF(P298&lt;C298,"teilweise","offen"))))</f>
        <v/>
      </c>
    </row>
    <row r="299">
      <c r="A299" s="7" t="n"/>
      <c r="B299" s="8" t="n"/>
      <c r="C299" s="9" t="n"/>
      <c r="D299" s="10" t="n"/>
      <c r="E299" s="10" t="n"/>
      <c r="F299" s="10" t="n"/>
      <c r="G299" s="10" t="n"/>
      <c r="H299" s="10" t="n"/>
      <c r="I299" s="11">
        <f>IF(B299="","",DATE(YEAR(B299)+3,12,31))</f>
        <v/>
      </c>
      <c r="J299" s="8" t="n"/>
      <c r="K299" s="9" t="n"/>
      <c r="L299" s="8" t="n"/>
      <c r="M299" s="9" t="n"/>
      <c r="N299" s="8" t="n"/>
      <c r="O299" s="9" t="n"/>
      <c r="P299" s="12">
        <f>IF(C299="","",C299-SUM(K299,M299,O299))</f>
        <v/>
      </c>
      <c r="Q299" s="13">
        <f>IF(A299="","",IF(P299&lt;=0,"eingelöst",IF(AND(I299&lt;&gt;"",TODAY()&gt;I299),"abgelaufen",IF(P299&lt;C299,"teilweise","offen"))))</f>
        <v/>
      </c>
    </row>
    <row r="300">
      <c r="A300" s="7" t="n"/>
      <c r="B300" s="8" t="n"/>
      <c r="C300" s="9" t="n"/>
      <c r="D300" s="10" t="n"/>
      <c r="E300" s="10" t="n"/>
      <c r="F300" s="10" t="n"/>
      <c r="G300" s="10" t="n"/>
      <c r="H300" s="10" t="n"/>
      <c r="I300" s="11">
        <f>IF(B300="","",DATE(YEAR(B300)+3,12,31))</f>
        <v/>
      </c>
      <c r="J300" s="8" t="n"/>
      <c r="K300" s="9" t="n"/>
      <c r="L300" s="8" t="n"/>
      <c r="M300" s="9" t="n"/>
      <c r="N300" s="8" t="n"/>
      <c r="O300" s="9" t="n"/>
      <c r="P300" s="12">
        <f>IF(C300="","",C300-SUM(K300,M300,O300))</f>
        <v/>
      </c>
      <c r="Q300" s="13">
        <f>IF(A300="","",IF(P300&lt;=0,"eingelöst",IF(AND(I300&lt;&gt;"",TODAY()&gt;I300),"abgelaufen",IF(P300&lt;C300,"teilweise","offen"))))</f>
        <v/>
      </c>
    </row>
    <row r="301">
      <c r="A301" s="7" t="n"/>
      <c r="B301" s="8" t="n"/>
      <c r="C301" s="9" t="n"/>
      <c r="D301" s="10" t="n"/>
      <c r="E301" s="10" t="n"/>
      <c r="F301" s="10" t="n"/>
      <c r="G301" s="10" t="n"/>
      <c r="H301" s="10" t="n"/>
      <c r="I301" s="11">
        <f>IF(B301="","",DATE(YEAR(B301)+3,12,31))</f>
        <v/>
      </c>
      <c r="J301" s="8" t="n"/>
      <c r="K301" s="9" t="n"/>
      <c r="L301" s="8" t="n"/>
      <c r="M301" s="9" t="n"/>
      <c r="N301" s="8" t="n"/>
      <c r="O301" s="9" t="n"/>
      <c r="P301" s="12">
        <f>IF(C301="","",C301-SUM(K301,M301,O301))</f>
        <v/>
      </c>
      <c r="Q301" s="13">
        <f>IF(A301="","",IF(P301&lt;=0,"eingelöst",IF(AND(I301&lt;&gt;"",TODAY()&gt;I301),"abgelaufen",IF(P301&lt;C301,"teilweise","offen"))))</f>
        <v/>
      </c>
    </row>
    <row r="302">
      <c r="A302" s="7" t="n"/>
      <c r="B302" s="8" t="n"/>
      <c r="C302" s="9" t="n"/>
      <c r="D302" s="10" t="n"/>
      <c r="E302" s="10" t="n"/>
      <c r="F302" s="10" t="n"/>
      <c r="G302" s="10" t="n"/>
      <c r="H302" s="10" t="n"/>
      <c r="I302" s="11">
        <f>IF(B302="","",DATE(YEAR(B302)+3,12,31))</f>
        <v/>
      </c>
      <c r="J302" s="8" t="n"/>
      <c r="K302" s="9" t="n"/>
      <c r="L302" s="8" t="n"/>
      <c r="M302" s="9" t="n"/>
      <c r="N302" s="8" t="n"/>
      <c r="O302" s="9" t="n"/>
      <c r="P302" s="12">
        <f>IF(C302="","",C302-SUM(K302,M302,O302))</f>
        <v/>
      </c>
      <c r="Q302" s="13">
        <f>IF(A302="","",IF(P302&lt;=0,"eingelöst",IF(AND(I302&lt;&gt;"",TODAY()&gt;I302),"abgelaufen",IF(P302&lt;C302,"teilweise","offen"))))</f>
        <v/>
      </c>
    </row>
    <row r="303">
      <c r="A303" s="7" t="n"/>
      <c r="B303" s="8" t="n"/>
      <c r="C303" s="9" t="n"/>
      <c r="D303" s="10" t="n"/>
      <c r="E303" s="10" t="n"/>
      <c r="F303" s="10" t="n"/>
      <c r="G303" s="10" t="n"/>
      <c r="H303" s="10" t="n"/>
      <c r="I303" s="11">
        <f>IF(B303="","",DATE(YEAR(B303)+3,12,31))</f>
        <v/>
      </c>
      <c r="J303" s="8" t="n"/>
      <c r="K303" s="9" t="n"/>
      <c r="L303" s="8" t="n"/>
      <c r="M303" s="9" t="n"/>
      <c r="N303" s="8" t="n"/>
      <c r="O303" s="9" t="n"/>
      <c r="P303" s="12">
        <f>IF(C303="","",C303-SUM(K303,M303,O303))</f>
        <v/>
      </c>
      <c r="Q303" s="13">
        <f>IF(A303="","",IF(P303&lt;=0,"eingelöst",IF(AND(I303&lt;&gt;"",TODAY()&gt;I303),"abgelaufen",IF(P303&lt;C303,"teilweise","offen"))))</f>
        <v/>
      </c>
    </row>
    <row r="304">
      <c r="A304" s="7" t="n"/>
      <c r="B304" s="8" t="n"/>
      <c r="C304" s="9" t="n"/>
      <c r="D304" s="10" t="n"/>
      <c r="E304" s="10" t="n"/>
      <c r="F304" s="10" t="n"/>
      <c r="G304" s="10" t="n"/>
      <c r="H304" s="10" t="n"/>
      <c r="I304" s="11">
        <f>IF(B304="","",DATE(YEAR(B304)+3,12,31))</f>
        <v/>
      </c>
      <c r="J304" s="8" t="n"/>
      <c r="K304" s="9" t="n"/>
      <c r="L304" s="8" t="n"/>
      <c r="M304" s="9" t="n"/>
      <c r="N304" s="8" t="n"/>
      <c r="O304" s="9" t="n"/>
      <c r="P304" s="12">
        <f>IF(C304="","",C304-SUM(K304,M304,O304))</f>
        <v/>
      </c>
      <c r="Q304" s="13">
        <f>IF(A304="","",IF(P304&lt;=0,"eingelöst",IF(AND(I304&lt;&gt;"",TODAY()&gt;I304),"abgelaufen",IF(P304&lt;C304,"teilweise","offen"))))</f>
        <v/>
      </c>
    </row>
    <row r="305">
      <c r="A305" s="7" t="n"/>
      <c r="B305" s="8" t="n"/>
      <c r="C305" s="9" t="n"/>
      <c r="D305" s="10" t="n"/>
      <c r="E305" s="10" t="n"/>
      <c r="F305" s="10" t="n"/>
      <c r="G305" s="10" t="n"/>
      <c r="H305" s="10" t="n"/>
      <c r="I305" s="11">
        <f>IF(B305="","",DATE(YEAR(B305)+3,12,31))</f>
        <v/>
      </c>
      <c r="J305" s="8" t="n"/>
      <c r="K305" s="9" t="n"/>
      <c r="L305" s="8" t="n"/>
      <c r="M305" s="9" t="n"/>
      <c r="N305" s="8" t="n"/>
      <c r="O305" s="9" t="n"/>
      <c r="P305" s="12">
        <f>IF(C305="","",C305-SUM(K305,M305,O305))</f>
        <v/>
      </c>
      <c r="Q305" s="13">
        <f>IF(A305="","",IF(P305&lt;=0,"eingelöst",IF(AND(I305&lt;&gt;"",TODAY()&gt;I305),"abgelaufen",IF(P305&lt;C305,"teilweise","offen"))))</f>
        <v/>
      </c>
    </row>
    <row r="306">
      <c r="A306" s="7" t="n"/>
      <c r="B306" s="8" t="n"/>
      <c r="C306" s="9" t="n"/>
      <c r="D306" s="10" t="n"/>
      <c r="E306" s="10" t="n"/>
      <c r="F306" s="10" t="n"/>
      <c r="G306" s="10" t="n"/>
      <c r="H306" s="10" t="n"/>
      <c r="I306" s="11">
        <f>IF(B306="","",DATE(YEAR(B306)+3,12,31))</f>
        <v/>
      </c>
      <c r="J306" s="8" t="n"/>
      <c r="K306" s="9" t="n"/>
      <c r="L306" s="8" t="n"/>
      <c r="M306" s="9" t="n"/>
      <c r="N306" s="8" t="n"/>
      <c r="O306" s="9" t="n"/>
      <c r="P306" s="12">
        <f>IF(C306="","",C306-SUM(K306,M306,O306))</f>
        <v/>
      </c>
      <c r="Q306" s="13">
        <f>IF(A306="","",IF(P306&lt;=0,"eingelöst",IF(AND(I306&lt;&gt;"",TODAY()&gt;I306),"abgelaufen",IF(P306&lt;C306,"teilweise","offen"))))</f>
        <v/>
      </c>
    </row>
    <row r="307">
      <c r="A307" s="7" t="n"/>
      <c r="B307" s="8" t="n"/>
      <c r="C307" s="9" t="n"/>
      <c r="D307" s="10" t="n"/>
      <c r="E307" s="10" t="n"/>
      <c r="F307" s="10" t="n"/>
      <c r="G307" s="10" t="n"/>
      <c r="H307" s="10" t="n"/>
      <c r="I307" s="11">
        <f>IF(B307="","",DATE(YEAR(B307)+3,12,31))</f>
        <v/>
      </c>
      <c r="J307" s="8" t="n"/>
      <c r="K307" s="9" t="n"/>
      <c r="L307" s="8" t="n"/>
      <c r="M307" s="9" t="n"/>
      <c r="N307" s="8" t="n"/>
      <c r="O307" s="9" t="n"/>
      <c r="P307" s="12">
        <f>IF(C307="","",C307-SUM(K307,M307,O307))</f>
        <v/>
      </c>
      <c r="Q307" s="13">
        <f>IF(A307="","",IF(P307&lt;=0,"eingelöst",IF(AND(I307&lt;&gt;"",TODAY()&gt;I307),"abgelaufen",IF(P307&lt;C307,"teilweise","offen"))))</f>
        <v/>
      </c>
    </row>
    <row r="308">
      <c r="A308" s="7" t="n"/>
      <c r="B308" s="8" t="n"/>
      <c r="C308" s="9" t="n"/>
      <c r="D308" s="10" t="n"/>
      <c r="E308" s="10" t="n"/>
      <c r="F308" s="10" t="n"/>
      <c r="G308" s="10" t="n"/>
      <c r="H308" s="10" t="n"/>
      <c r="I308" s="11">
        <f>IF(B308="","",DATE(YEAR(B308)+3,12,31))</f>
        <v/>
      </c>
      <c r="J308" s="8" t="n"/>
      <c r="K308" s="9" t="n"/>
      <c r="L308" s="8" t="n"/>
      <c r="M308" s="9" t="n"/>
      <c r="N308" s="8" t="n"/>
      <c r="O308" s="9" t="n"/>
      <c r="P308" s="12">
        <f>IF(C308="","",C308-SUM(K308,M308,O308))</f>
        <v/>
      </c>
      <c r="Q308" s="13">
        <f>IF(A308="","",IF(P308&lt;=0,"eingelöst",IF(AND(I308&lt;&gt;"",TODAY()&gt;I308),"abgelaufen",IF(P308&lt;C308,"teilweise","offen"))))</f>
        <v/>
      </c>
    </row>
    <row r="309">
      <c r="A309" s="7" t="n"/>
      <c r="B309" s="8" t="n"/>
      <c r="C309" s="9" t="n"/>
      <c r="D309" s="10" t="n"/>
      <c r="E309" s="10" t="n"/>
      <c r="F309" s="10" t="n"/>
      <c r="G309" s="10" t="n"/>
      <c r="H309" s="10" t="n"/>
      <c r="I309" s="11">
        <f>IF(B309="","",DATE(YEAR(B309)+3,12,31))</f>
        <v/>
      </c>
      <c r="J309" s="8" t="n"/>
      <c r="K309" s="9" t="n"/>
      <c r="L309" s="8" t="n"/>
      <c r="M309" s="9" t="n"/>
      <c r="N309" s="8" t="n"/>
      <c r="O309" s="9" t="n"/>
      <c r="P309" s="12">
        <f>IF(C309="","",C309-SUM(K309,M309,O309))</f>
        <v/>
      </c>
      <c r="Q309" s="13">
        <f>IF(A309="","",IF(P309&lt;=0,"eingelöst",IF(AND(I309&lt;&gt;"",TODAY()&gt;I309),"abgelaufen",IF(P309&lt;C309,"teilweise","offen"))))</f>
        <v/>
      </c>
    </row>
    <row r="310">
      <c r="A310" s="7" t="n"/>
      <c r="B310" s="8" t="n"/>
      <c r="C310" s="9" t="n"/>
      <c r="D310" s="10" t="n"/>
      <c r="E310" s="10" t="n"/>
      <c r="F310" s="10" t="n"/>
      <c r="G310" s="10" t="n"/>
      <c r="H310" s="10" t="n"/>
      <c r="I310" s="11">
        <f>IF(B310="","",DATE(YEAR(B310)+3,12,31))</f>
        <v/>
      </c>
      <c r="J310" s="8" t="n"/>
      <c r="K310" s="9" t="n"/>
      <c r="L310" s="8" t="n"/>
      <c r="M310" s="9" t="n"/>
      <c r="N310" s="8" t="n"/>
      <c r="O310" s="9" t="n"/>
      <c r="P310" s="12">
        <f>IF(C310="","",C310-SUM(K310,M310,O310))</f>
        <v/>
      </c>
      <c r="Q310" s="13">
        <f>IF(A310="","",IF(P310&lt;=0,"eingelöst",IF(AND(I310&lt;&gt;"",TODAY()&gt;I310),"abgelaufen",IF(P310&lt;C310,"teilweise","offen"))))</f>
        <v/>
      </c>
    </row>
    <row r="311">
      <c r="A311" s="7" t="n"/>
      <c r="B311" s="8" t="n"/>
      <c r="C311" s="9" t="n"/>
      <c r="D311" s="10" t="n"/>
      <c r="E311" s="10" t="n"/>
      <c r="F311" s="10" t="n"/>
      <c r="G311" s="10" t="n"/>
      <c r="H311" s="10" t="n"/>
      <c r="I311" s="11">
        <f>IF(B311="","",DATE(YEAR(B311)+3,12,31))</f>
        <v/>
      </c>
      <c r="J311" s="8" t="n"/>
      <c r="K311" s="9" t="n"/>
      <c r="L311" s="8" t="n"/>
      <c r="M311" s="9" t="n"/>
      <c r="N311" s="8" t="n"/>
      <c r="O311" s="9" t="n"/>
      <c r="P311" s="12">
        <f>IF(C311="","",C311-SUM(K311,M311,O311))</f>
        <v/>
      </c>
      <c r="Q311" s="13">
        <f>IF(A311="","",IF(P311&lt;=0,"eingelöst",IF(AND(I311&lt;&gt;"",TODAY()&gt;I311),"abgelaufen",IF(P311&lt;C311,"teilweise","offen"))))</f>
        <v/>
      </c>
    </row>
    <row r="312">
      <c r="A312" s="7" t="n"/>
      <c r="B312" s="8" t="n"/>
      <c r="C312" s="9" t="n"/>
      <c r="D312" s="10" t="n"/>
      <c r="E312" s="10" t="n"/>
      <c r="F312" s="10" t="n"/>
      <c r="G312" s="10" t="n"/>
      <c r="H312" s="10" t="n"/>
      <c r="I312" s="11">
        <f>IF(B312="","",DATE(YEAR(B312)+3,12,31))</f>
        <v/>
      </c>
      <c r="J312" s="8" t="n"/>
      <c r="K312" s="9" t="n"/>
      <c r="L312" s="8" t="n"/>
      <c r="M312" s="9" t="n"/>
      <c r="N312" s="8" t="n"/>
      <c r="O312" s="9" t="n"/>
      <c r="P312" s="12">
        <f>IF(C312="","",C312-SUM(K312,M312,O312))</f>
        <v/>
      </c>
      <c r="Q312" s="13">
        <f>IF(A312="","",IF(P312&lt;=0,"eingelöst",IF(AND(I312&lt;&gt;"",TODAY()&gt;I312),"abgelaufen",IF(P312&lt;C312,"teilweise","offen"))))</f>
        <v/>
      </c>
    </row>
    <row r="313">
      <c r="A313" s="7" t="n"/>
      <c r="B313" s="8" t="n"/>
      <c r="C313" s="9" t="n"/>
      <c r="D313" s="10" t="n"/>
      <c r="E313" s="10" t="n"/>
      <c r="F313" s="10" t="n"/>
      <c r="G313" s="10" t="n"/>
      <c r="H313" s="10" t="n"/>
      <c r="I313" s="11">
        <f>IF(B313="","",DATE(YEAR(B313)+3,12,31))</f>
        <v/>
      </c>
      <c r="J313" s="8" t="n"/>
      <c r="K313" s="9" t="n"/>
      <c r="L313" s="8" t="n"/>
      <c r="M313" s="9" t="n"/>
      <c r="N313" s="8" t="n"/>
      <c r="O313" s="9" t="n"/>
      <c r="P313" s="12">
        <f>IF(C313="","",C313-SUM(K313,M313,O313))</f>
        <v/>
      </c>
      <c r="Q313" s="13">
        <f>IF(A313="","",IF(P313&lt;=0,"eingelöst",IF(AND(I313&lt;&gt;"",TODAY()&gt;I313),"abgelaufen",IF(P313&lt;C313,"teilweise","offen"))))</f>
        <v/>
      </c>
    </row>
    <row r="314">
      <c r="A314" s="7" t="n"/>
      <c r="B314" s="8" t="n"/>
      <c r="C314" s="9" t="n"/>
      <c r="D314" s="10" t="n"/>
      <c r="E314" s="10" t="n"/>
      <c r="F314" s="10" t="n"/>
      <c r="G314" s="10" t="n"/>
      <c r="H314" s="10" t="n"/>
      <c r="I314" s="11">
        <f>IF(B314="","",DATE(YEAR(B314)+3,12,31))</f>
        <v/>
      </c>
      <c r="J314" s="8" t="n"/>
      <c r="K314" s="9" t="n"/>
      <c r="L314" s="8" t="n"/>
      <c r="M314" s="9" t="n"/>
      <c r="N314" s="8" t="n"/>
      <c r="O314" s="9" t="n"/>
      <c r="P314" s="12">
        <f>IF(C314="","",C314-SUM(K314,M314,O314))</f>
        <v/>
      </c>
      <c r="Q314" s="13">
        <f>IF(A314="","",IF(P314&lt;=0,"eingelöst",IF(AND(I314&lt;&gt;"",TODAY()&gt;I314),"abgelaufen",IF(P314&lt;C314,"teilweise","offen"))))</f>
        <v/>
      </c>
    </row>
    <row r="315">
      <c r="A315" s="7" t="n"/>
      <c r="B315" s="8" t="n"/>
      <c r="C315" s="9" t="n"/>
      <c r="D315" s="10" t="n"/>
      <c r="E315" s="10" t="n"/>
      <c r="F315" s="10" t="n"/>
      <c r="G315" s="10" t="n"/>
      <c r="H315" s="10" t="n"/>
      <c r="I315" s="11">
        <f>IF(B315="","",DATE(YEAR(B315)+3,12,31))</f>
        <v/>
      </c>
      <c r="J315" s="8" t="n"/>
      <c r="K315" s="9" t="n"/>
      <c r="L315" s="8" t="n"/>
      <c r="M315" s="9" t="n"/>
      <c r="N315" s="8" t="n"/>
      <c r="O315" s="9" t="n"/>
      <c r="P315" s="12">
        <f>IF(C315="","",C315-SUM(K315,M315,O315))</f>
        <v/>
      </c>
      <c r="Q315" s="13">
        <f>IF(A315="","",IF(P315&lt;=0,"eingelöst",IF(AND(I315&lt;&gt;"",TODAY()&gt;I315),"abgelaufen",IF(P315&lt;C315,"teilweise","offen"))))</f>
        <v/>
      </c>
    </row>
    <row r="316">
      <c r="A316" s="7" t="n"/>
      <c r="B316" s="8" t="n"/>
      <c r="C316" s="9" t="n"/>
      <c r="D316" s="10" t="n"/>
      <c r="E316" s="10" t="n"/>
      <c r="F316" s="10" t="n"/>
      <c r="G316" s="10" t="n"/>
      <c r="H316" s="10" t="n"/>
      <c r="I316" s="11">
        <f>IF(B316="","",DATE(YEAR(B316)+3,12,31))</f>
        <v/>
      </c>
      <c r="J316" s="8" t="n"/>
      <c r="K316" s="9" t="n"/>
      <c r="L316" s="8" t="n"/>
      <c r="M316" s="9" t="n"/>
      <c r="N316" s="8" t="n"/>
      <c r="O316" s="9" t="n"/>
      <c r="P316" s="12">
        <f>IF(C316="","",C316-SUM(K316,M316,O316))</f>
        <v/>
      </c>
      <c r="Q316" s="13">
        <f>IF(A316="","",IF(P316&lt;=0,"eingelöst",IF(AND(I316&lt;&gt;"",TODAY()&gt;I316),"abgelaufen",IF(P316&lt;C316,"teilweise","offen"))))</f>
        <v/>
      </c>
    </row>
    <row r="317">
      <c r="A317" s="7" t="n"/>
      <c r="B317" s="8" t="n"/>
      <c r="C317" s="9" t="n"/>
      <c r="D317" s="10" t="n"/>
      <c r="E317" s="10" t="n"/>
      <c r="F317" s="10" t="n"/>
      <c r="G317" s="10" t="n"/>
      <c r="H317" s="10" t="n"/>
      <c r="I317" s="11">
        <f>IF(B317="","",DATE(YEAR(B317)+3,12,31))</f>
        <v/>
      </c>
      <c r="J317" s="8" t="n"/>
      <c r="K317" s="9" t="n"/>
      <c r="L317" s="8" t="n"/>
      <c r="M317" s="9" t="n"/>
      <c r="N317" s="8" t="n"/>
      <c r="O317" s="9" t="n"/>
      <c r="P317" s="12">
        <f>IF(C317="","",C317-SUM(K317,M317,O317))</f>
        <v/>
      </c>
      <c r="Q317" s="13">
        <f>IF(A317="","",IF(P317&lt;=0,"eingelöst",IF(AND(I317&lt;&gt;"",TODAY()&gt;I317),"abgelaufen",IF(P317&lt;C317,"teilweise","offen"))))</f>
        <v/>
      </c>
    </row>
    <row r="318">
      <c r="A318" s="7" t="n"/>
      <c r="B318" s="8" t="n"/>
      <c r="C318" s="9" t="n"/>
      <c r="D318" s="10" t="n"/>
      <c r="E318" s="10" t="n"/>
      <c r="F318" s="10" t="n"/>
      <c r="G318" s="10" t="n"/>
      <c r="H318" s="10" t="n"/>
      <c r="I318" s="11">
        <f>IF(B318="","",DATE(YEAR(B318)+3,12,31))</f>
        <v/>
      </c>
      <c r="J318" s="8" t="n"/>
      <c r="K318" s="9" t="n"/>
      <c r="L318" s="8" t="n"/>
      <c r="M318" s="9" t="n"/>
      <c r="N318" s="8" t="n"/>
      <c r="O318" s="9" t="n"/>
      <c r="P318" s="12">
        <f>IF(C318="","",C318-SUM(K318,M318,O318))</f>
        <v/>
      </c>
      <c r="Q318" s="13">
        <f>IF(A318="","",IF(P318&lt;=0,"eingelöst",IF(AND(I318&lt;&gt;"",TODAY()&gt;I318),"abgelaufen",IF(P318&lt;C318,"teilweise","offen"))))</f>
        <v/>
      </c>
    </row>
    <row r="319">
      <c r="A319" s="7" t="n"/>
      <c r="B319" s="8" t="n"/>
      <c r="C319" s="9" t="n"/>
      <c r="D319" s="10" t="n"/>
      <c r="E319" s="10" t="n"/>
      <c r="F319" s="10" t="n"/>
      <c r="G319" s="10" t="n"/>
      <c r="H319" s="10" t="n"/>
      <c r="I319" s="11">
        <f>IF(B319="","",DATE(YEAR(B319)+3,12,31))</f>
        <v/>
      </c>
      <c r="J319" s="8" t="n"/>
      <c r="K319" s="9" t="n"/>
      <c r="L319" s="8" t="n"/>
      <c r="M319" s="9" t="n"/>
      <c r="N319" s="8" t="n"/>
      <c r="O319" s="9" t="n"/>
      <c r="P319" s="12">
        <f>IF(C319="","",C319-SUM(K319,M319,O319))</f>
        <v/>
      </c>
      <c r="Q319" s="13">
        <f>IF(A319="","",IF(P319&lt;=0,"eingelöst",IF(AND(I319&lt;&gt;"",TODAY()&gt;I319),"abgelaufen",IF(P319&lt;C319,"teilweise","offen"))))</f>
        <v/>
      </c>
    </row>
    <row r="320">
      <c r="A320" s="7" t="n"/>
      <c r="B320" s="8" t="n"/>
      <c r="C320" s="9" t="n"/>
      <c r="D320" s="10" t="n"/>
      <c r="E320" s="10" t="n"/>
      <c r="F320" s="10" t="n"/>
      <c r="G320" s="10" t="n"/>
      <c r="H320" s="10" t="n"/>
      <c r="I320" s="11">
        <f>IF(B320="","",DATE(YEAR(B320)+3,12,31))</f>
        <v/>
      </c>
      <c r="J320" s="8" t="n"/>
      <c r="K320" s="9" t="n"/>
      <c r="L320" s="8" t="n"/>
      <c r="M320" s="9" t="n"/>
      <c r="N320" s="8" t="n"/>
      <c r="O320" s="9" t="n"/>
      <c r="P320" s="12">
        <f>IF(C320="","",C320-SUM(K320,M320,O320))</f>
        <v/>
      </c>
      <c r="Q320" s="13">
        <f>IF(A320="","",IF(P320&lt;=0,"eingelöst",IF(AND(I320&lt;&gt;"",TODAY()&gt;I320),"abgelaufen",IF(P320&lt;C320,"teilweise","offen"))))</f>
        <v/>
      </c>
    </row>
    <row r="321">
      <c r="A321" s="7" t="n"/>
      <c r="B321" s="8" t="n"/>
      <c r="C321" s="9" t="n"/>
      <c r="D321" s="10" t="n"/>
      <c r="E321" s="10" t="n"/>
      <c r="F321" s="10" t="n"/>
      <c r="G321" s="10" t="n"/>
      <c r="H321" s="10" t="n"/>
      <c r="I321" s="11">
        <f>IF(B321="","",DATE(YEAR(B321)+3,12,31))</f>
        <v/>
      </c>
      <c r="J321" s="8" t="n"/>
      <c r="K321" s="9" t="n"/>
      <c r="L321" s="8" t="n"/>
      <c r="M321" s="9" t="n"/>
      <c r="N321" s="8" t="n"/>
      <c r="O321" s="9" t="n"/>
      <c r="P321" s="12">
        <f>IF(C321="","",C321-SUM(K321,M321,O321))</f>
        <v/>
      </c>
      <c r="Q321" s="13">
        <f>IF(A321="","",IF(P321&lt;=0,"eingelöst",IF(AND(I321&lt;&gt;"",TODAY()&gt;I321),"abgelaufen",IF(P321&lt;C321,"teilweise","offen"))))</f>
        <v/>
      </c>
    </row>
    <row r="322">
      <c r="A322" s="7" t="n"/>
      <c r="B322" s="8" t="n"/>
      <c r="C322" s="9" t="n"/>
      <c r="D322" s="10" t="n"/>
      <c r="E322" s="10" t="n"/>
      <c r="F322" s="10" t="n"/>
      <c r="G322" s="10" t="n"/>
      <c r="H322" s="10" t="n"/>
      <c r="I322" s="11">
        <f>IF(B322="","",DATE(YEAR(B322)+3,12,31))</f>
        <v/>
      </c>
      <c r="J322" s="8" t="n"/>
      <c r="K322" s="9" t="n"/>
      <c r="L322" s="8" t="n"/>
      <c r="M322" s="9" t="n"/>
      <c r="N322" s="8" t="n"/>
      <c r="O322" s="9" t="n"/>
      <c r="P322" s="12">
        <f>IF(C322="","",C322-SUM(K322,M322,O322))</f>
        <v/>
      </c>
      <c r="Q322" s="13">
        <f>IF(A322="","",IF(P322&lt;=0,"eingelöst",IF(AND(I322&lt;&gt;"",TODAY()&gt;I322),"abgelaufen",IF(P322&lt;C322,"teilweise","offen"))))</f>
        <v/>
      </c>
    </row>
    <row r="323">
      <c r="A323" s="7" t="n"/>
      <c r="B323" s="8" t="n"/>
      <c r="C323" s="9" t="n"/>
      <c r="D323" s="10" t="n"/>
      <c r="E323" s="10" t="n"/>
      <c r="F323" s="10" t="n"/>
      <c r="G323" s="10" t="n"/>
      <c r="H323" s="10" t="n"/>
      <c r="I323" s="11">
        <f>IF(B323="","",DATE(YEAR(B323)+3,12,31))</f>
        <v/>
      </c>
      <c r="J323" s="8" t="n"/>
      <c r="K323" s="9" t="n"/>
      <c r="L323" s="8" t="n"/>
      <c r="M323" s="9" t="n"/>
      <c r="N323" s="8" t="n"/>
      <c r="O323" s="9" t="n"/>
      <c r="P323" s="12">
        <f>IF(C323="","",C323-SUM(K323,M323,O323))</f>
        <v/>
      </c>
      <c r="Q323" s="13">
        <f>IF(A323="","",IF(P323&lt;=0,"eingelöst",IF(AND(I323&lt;&gt;"",TODAY()&gt;I323),"abgelaufen",IF(P323&lt;C323,"teilweise","offen"))))</f>
        <v/>
      </c>
    </row>
    <row r="324">
      <c r="A324" s="7" t="n"/>
      <c r="B324" s="8" t="n"/>
      <c r="C324" s="9" t="n"/>
      <c r="D324" s="10" t="n"/>
      <c r="E324" s="10" t="n"/>
      <c r="F324" s="10" t="n"/>
      <c r="G324" s="10" t="n"/>
      <c r="H324" s="10" t="n"/>
      <c r="I324" s="11">
        <f>IF(B324="","",DATE(YEAR(B324)+3,12,31))</f>
        <v/>
      </c>
      <c r="J324" s="8" t="n"/>
      <c r="K324" s="9" t="n"/>
      <c r="L324" s="8" t="n"/>
      <c r="M324" s="9" t="n"/>
      <c r="N324" s="8" t="n"/>
      <c r="O324" s="9" t="n"/>
      <c r="P324" s="12">
        <f>IF(C324="","",C324-SUM(K324,M324,O324))</f>
        <v/>
      </c>
      <c r="Q324" s="13">
        <f>IF(A324="","",IF(P324&lt;=0,"eingelöst",IF(AND(I324&lt;&gt;"",TODAY()&gt;I324),"abgelaufen",IF(P324&lt;C324,"teilweise","offen"))))</f>
        <v/>
      </c>
    </row>
    <row r="325">
      <c r="A325" s="7" t="n"/>
      <c r="B325" s="8" t="n"/>
      <c r="C325" s="9" t="n"/>
      <c r="D325" s="10" t="n"/>
      <c r="E325" s="10" t="n"/>
      <c r="F325" s="10" t="n"/>
      <c r="G325" s="10" t="n"/>
      <c r="H325" s="10" t="n"/>
      <c r="I325" s="11">
        <f>IF(B325="","",DATE(YEAR(B325)+3,12,31))</f>
        <v/>
      </c>
      <c r="J325" s="8" t="n"/>
      <c r="K325" s="9" t="n"/>
      <c r="L325" s="8" t="n"/>
      <c r="M325" s="9" t="n"/>
      <c r="N325" s="8" t="n"/>
      <c r="O325" s="9" t="n"/>
      <c r="P325" s="12">
        <f>IF(C325="","",C325-SUM(K325,M325,O325))</f>
        <v/>
      </c>
      <c r="Q325" s="13">
        <f>IF(A325="","",IF(P325&lt;=0,"eingelöst",IF(AND(I325&lt;&gt;"",TODAY()&gt;I325),"abgelaufen",IF(P325&lt;C325,"teilweise","offen"))))</f>
        <v/>
      </c>
    </row>
    <row r="326">
      <c r="A326" s="7" t="n"/>
      <c r="B326" s="8" t="n"/>
      <c r="C326" s="9" t="n"/>
      <c r="D326" s="10" t="n"/>
      <c r="E326" s="10" t="n"/>
      <c r="F326" s="10" t="n"/>
      <c r="G326" s="10" t="n"/>
      <c r="H326" s="10" t="n"/>
      <c r="I326" s="11">
        <f>IF(B326="","",DATE(YEAR(B326)+3,12,31))</f>
        <v/>
      </c>
      <c r="J326" s="8" t="n"/>
      <c r="K326" s="9" t="n"/>
      <c r="L326" s="8" t="n"/>
      <c r="M326" s="9" t="n"/>
      <c r="N326" s="8" t="n"/>
      <c r="O326" s="9" t="n"/>
      <c r="P326" s="12">
        <f>IF(C326="","",C326-SUM(K326,M326,O326))</f>
        <v/>
      </c>
      <c r="Q326" s="13">
        <f>IF(A326="","",IF(P326&lt;=0,"eingelöst",IF(AND(I326&lt;&gt;"",TODAY()&gt;I326),"abgelaufen",IF(P326&lt;C326,"teilweise","offen"))))</f>
        <v/>
      </c>
    </row>
    <row r="327">
      <c r="A327" s="7" t="n"/>
      <c r="B327" s="8" t="n"/>
      <c r="C327" s="9" t="n"/>
      <c r="D327" s="10" t="n"/>
      <c r="E327" s="10" t="n"/>
      <c r="F327" s="10" t="n"/>
      <c r="G327" s="10" t="n"/>
      <c r="H327" s="10" t="n"/>
      <c r="I327" s="11">
        <f>IF(B327="","",DATE(YEAR(B327)+3,12,31))</f>
        <v/>
      </c>
      <c r="J327" s="8" t="n"/>
      <c r="K327" s="9" t="n"/>
      <c r="L327" s="8" t="n"/>
      <c r="M327" s="9" t="n"/>
      <c r="N327" s="8" t="n"/>
      <c r="O327" s="9" t="n"/>
      <c r="P327" s="12">
        <f>IF(C327="","",C327-SUM(K327,M327,O327))</f>
        <v/>
      </c>
      <c r="Q327" s="13">
        <f>IF(A327="","",IF(P327&lt;=0,"eingelöst",IF(AND(I327&lt;&gt;"",TODAY()&gt;I327),"abgelaufen",IF(P327&lt;C327,"teilweise","offen"))))</f>
        <v/>
      </c>
    </row>
    <row r="328">
      <c r="A328" s="7" t="n"/>
      <c r="B328" s="8" t="n"/>
      <c r="C328" s="9" t="n"/>
      <c r="D328" s="10" t="n"/>
      <c r="E328" s="10" t="n"/>
      <c r="F328" s="10" t="n"/>
      <c r="G328" s="10" t="n"/>
      <c r="H328" s="10" t="n"/>
      <c r="I328" s="11">
        <f>IF(B328="","",DATE(YEAR(B328)+3,12,31))</f>
        <v/>
      </c>
      <c r="J328" s="8" t="n"/>
      <c r="K328" s="9" t="n"/>
      <c r="L328" s="8" t="n"/>
      <c r="M328" s="9" t="n"/>
      <c r="N328" s="8" t="n"/>
      <c r="O328" s="9" t="n"/>
      <c r="P328" s="12">
        <f>IF(C328="","",C328-SUM(K328,M328,O328))</f>
        <v/>
      </c>
      <c r="Q328" s="13">
        <f>IF(A328="","",IF(P328&lt;=0,"eingelöst",IF(AND(I328&lt;&gt;"",TODAY()&gt;I328),"abgelaufen",IF(P328&lt;C328,"teilweise","offen"))))</f>
        <v/>
      </c>
    </row>
    <row r="329">
      <c r="A329" s="7" t="n"/>
      <c r="B329" s="8" t="n"/>
      <c r="C329" s="9" t="n"/>
      <c r="D329" s="10" t="n"/>
      <c r="E329" s="10" t="n"/>
      <c r="F329" s="10" t="n"/>
      <c r="G329" s="10" t="n"/>
      <c r="H329" s="10" t="n"/>
      <c r="I329" s="11">
        <f>IF(B329="","",DATE(YEAR(B329)+3,12,31))</f>
        <v/>
      </c>
      <c r="J329" s="8" t="n"/>
      <c r="K329" s="9" t="n"/>
      <c r="L329" s="8" t="n"/>
      <c r="M329" s="9" t="n"/>
      <c r="N329" s="8" t="n"/>
      <c r="O329" s="9" t="n"/>
      <c r="P329" s="12">
        <f>IF(C329="","",C329-SUM(K329,M329,O329))</f>
        <v/>
      </c>
      <c r="Q329" s="13">
        <f>IF(A329="","",IF(P329&lt;=0,"eingelöst",IF(AND(I329&lt;&gt;"",TODAY()&gt;I329),"abgelaufen",IF(P329&lt;C329,"teilweise","offen"))))</f>
        <v/>
      </c>
    </row>
    <row r="330">
      <c r="A330" s="7" t="n"/>
      <c r="B330" s="8" t="n"/>
      <c r="C330" s="9" t="n"/>
      <c r="D330" s="10" t="n"/>
      <c r="E330" s="10" t="n"/>
      <c r="F330" s="10" t="n"/>
      <c r="G330" s="10" t="n"/>
      <c r="H330" s="10" t="n"/>
      <c r="I330" s="11">
        <f>IF(B330="","",DATE(YEAR(B330)+3,12,31))</f>
        <v/>
      </c>
      <c r="J330" s="8" t="n"/>
      <c r="K330" s="9" t="n"/>
      <c r="L330" s="8" t="n"/>
      <c r="M330" s="9" t="n"/>
      <c r="N330" s="8" t="n"/>
      <c r="O330" s="9" t="n"/>
      <c r="P330" s="12">
        <f>IF(C330="","",C330-SUM(K330,M330,O330))</f>
        <v/>
      </c>
      <c r="Q330" s="13">
        <f>IF(A330="","",IF(P330&lt;=0,"eingelöst",IF(AND(I330&lt;&gt;"",TODAY()&gt;I330),"abgelaufen",IF(P330&lt;C330,"teilweise","offen"))))</f>
        <v/>
      </c>
    </row>
    <row r="331">
      <c r="A331" s="7" t="n"/>
      <c r="B331" s="8" t="n"/>
      <c r="C331" s="9" t="n"/>
      <c r="D331" s="10" t="n"/>
      <c r="E331" s="10" t="n"/>
      <c r="F331" s="10" t="n"/>
      <c r="G331" s="10" t="n"/>
      <c r="H331" s="10" t="n"/>
      <c r="I331" s="11">
        <f>IF(B331="","",DATE(YEAR(B331)+3,12,31))</f>
        <v/>
      </c>
      <c r="J331" s="8" t="n"/>
      <c r="K331" s="9" t="n"/>
      <c r="L331" s="8" t="n"/>
      <c r="M331" s="9" t="n"/>
      <c r="N331" s="8" t="n"/>
      <c r="O331" s="9" t="n"/>
      <c r="P331" s="12">
        <f>IF(C331="","",C331-SUM(K331,M331,O331))</f>
        <v/>
      </c>
      <c r="Q331" s="13">
        <f>IF(A331="","",IF(P331&lt;=0,"eingelöst",IF(AND(I331&lt;&gt;"",TODAY()&gt;I331),"abgelaufen",IF(P331&lt;C331,"teilweise","offen"))))</f>
        <v/>
      </c>
    </row>
    <row r="332">
      <c r="A332" s="7" t="n"/>
      <c r="B332" s="8" t="n"/>
      <c r="C332" s="9" t="n"/>
      <c r="D332" s="10" t="n"/>
      <c r="E332" s="10" t="n"/>
      <c r="F332" s="10" t="n"/>
      <c r="G332" s="10" t="n"/>
      <c r="H332" s="10" t="n"/>
      <c r="I332" s="11">
        <f>IF(B332="","",DATE(YEAR(B332)+3,12,31))</f>
        <v/>
      </c>
      <c r="J332" s="8" t="n"/>
      <c r="K332" s="9" t="n"/>
      <c r="L332" s="8" t="n"/>
      <c r="M332" s="9" t="n"/>
      <c r="N332" s="8" t="n"/>
      <c r="O332" s="9" t="n"/>
      <c r="P332" s="12">
        <f>IF(C332="","",C332-SUM(K332,M332,O332))</f>
        <v/>
      </c>
      <c r="Q332" s="13">
        <f>IF(A332="","",IF(P332&lt;=0,"eingelöst",IF(AND(I332&lt;&gt;"",TODAY()&gt;I332),"abgelaufen",IF(P332&lt;C332,"teilweise","offen"))))</f>
        <v/>
      </c>
    </row>
    <row r="333">
      <c r="A333" s="7" t="n"/>
      <c r="B333" s="8" t="n"/>
      <c r="C333" s="9" t="n"/>
      <c r="D333" s="10" t="n"/>
      <c r="E333" s="10" t="n"/>
      <c r="F333" s="10" t="n"/>
      <c r="G333" s="10" t="n"/>
      <c r="H333" s="10" t="n"/>
      <c r="I333" s="11">
        <f>IF(B333="","",DATE(YEAR(B333)+3,12,31))</f>
        <v/>
      </c>
      <c r="J333" s="8" t="n"/>
      <c r="K333" s="9" t="n"/>
      <c r="L333" s="8" t="n"/>
      <c r="M333" s="9" t="n"/>
      <c r="N333" s="8" t="n"/>
      <c r="O333" s="9" t="n"/>
      <c r="P333" s="12">
        <f>IF(C333="","",C333-SUM(K333,M333,O333))</f>
        <v/>
      </c>
      <c r="Q333" s="13">
        <f>IF(A333="","",IF(P333&lt;=0,"eingelöst",IF(AND(I333&lt;&gt;"",TODAY()&gt;I333),"abgelaufen",IF(P333&lt;C333,"teilweise","offen"))))</f>
        <v/>
      </c>
    </row>
    <row r="334">
      <c r="A334" s="7" t="n"/>
      <c r="B334" s="8" t="n"/>
      <c r="C334" s="9" t="n"/>
      <c r="D334" s="10" t="n"/>
      <c r="E334" s="10" t="n"/>
      <c r="F334" s="10" t="n"/>
      <c r="G334" s="10" t="n"/>
      <c r="H334" s="10" t="n"/>
      <c r="I334" s="11">
        <f>IF(B334="","",DATE(YEAR(B334)+3,12,31))</f>
        <v/>
      </c>
      <c r="J334" s="8" t="n"/>
      <c r="K334" s="9" t="n"/>
      <c r="L334" s="8" t="n"/>
      <c r="M334" s="9" t="n"/>
      <c r="N334" s="8" t="n"/>
      <c r="O334" s="9" t="n"/>
      <c r="P334" s="12">
        <f>IF(C334="","",C334-SUM(K334,M334,O334))</f>
        <v/>
      </c>
      <c r="Q334" s="13">
        <f>IF(A334="","",IF(P334&lt;=0,"eingelöst",IF(AND(I334&lt;&gt;"",TODAY()&gt;I334),"abgelaufen",IF(P334&lt;C334,"teilweise","offen"))))</f>
        <v/>
      </c>
    </row>
    <row r="335">
      <c r="A335" s="7" t="n"/>
      <c r="B335" s="8" t="n"/>
      <c r="C335" s="9" t="n"/>
      <c r="D335" s="10" t="n"/>
      <c r="E335" s="10" t="n"/>
      <c r="F335" s="10" t="n"/>
      <c r="G335" s="10" t="n"/>
      <c r="H335" s="10" t="n"/>
      <c r="I335" s="11">
        <f>IF(B335="","",DATE(YEAR(B335)+3,12,31))</f>
        <v/>
      </c>
      <c r="J335" s="8" t="n"/>
      <c r="K335" s="9" t="n"/>
      <c r="L335" s="8" t="n"/>
      <c r="M335" s="9" t="n"/>
      <c r="N335" s="8" t="n"/>
      <c r="O335" s="9" t="n"/>
      <c r="P335" s="12">
        <f>IF(C335="","",C335-SUM(K335,M335,O335))</f>
        <v/>
      </c>
      <c r="Q335" s="13">
        <f>IF(A335="","",IF(P335&lt;=0,"eingelöst",IF(AND(I335&lt;&gt;"",TODAY()&gt;I335),"abgelaufen",IF(P335&lt;C335,"teilweise","offen"))))</f>
        <v/>
      </c>
    </row>
    <row r="336">
      <c r="A336" s="7" t="n"/>
      <c r="B336" s="8" t="n"/>
      <c r="C336" s="9" t="n"/>
      <c r="D336" s="10" t="n"/>
      <c r="E336" s="10" t="n"/>
      <c r="F336" s="10" t="n"/>
      <c r="G336" s="10" t="n"/>
      <c r="H336" s="10" t="n"/>
      <c r="I336" s="11">
        <f>IF(B336="","",DATE(YEAR(B336)+3,12,31))</f>
        <v/>
      </c>
      <c r="J336" s="8" t="n"/>
      <c r="K336" s="9" t="n"/>
      <c r="L336" s="8" t="n"/>
      <c r="M336" s="9" t="n"/>
      <c r="N336" s="8" t="n"/>
      <c r="O336" s="9" t="n"/>
      <c r="P336" s="12">
        <f>IF(C336="","",C336-SUM(K336,M336,O336))</f>
        <v/>
      </c>
      <c r="Q336" s="13">
        <f>IF(A336="","",IF(P336&lt;=0,"eingelöst",IF(AND(I336&lt;&gt;"",TODAY()&gt;I336),"abgelaufen",IF(P336&lt;C336,"teilweise","offen"))))</f>
        <v/>
      </c>
    </row>
    <row r="337">
      <c r="A337" s="7" t="n"/>
      <c r="B337" s="8" t="n"/>
      <c r="C337" s="9" t="n"/>
      <c r="D337" s="10" t="n"/>
      <c r="E337" s="10" t="n"/>
      <c r="F337" s="10" t="n"/>
      <c r="G337" s="10" t="n"/>
      <c r="H337" s="10" t="n"/>
      <c r="I337" s="11">
        <f>IF(B337="","",DATE(YEAR(B337)+3,12,31))</f>
        <v/>
      </c>
      <c r="J337" s="8" t="n"/>
      <c r="K337" s="9" t="n"/>
      <c r="L337" s="8" t="n"/>
      <c r="M337" s="9" t="n"/>
      <c r="N337" s="8" t="n"/>
      <c r="O337" s="9" t="n"/>
      <c r="P337" s="12">
        <f>IF(C337="","",C337-SUM(K337,M337,O337))</f>
        <v/>
      </c>
      <c r="Q337" s="13">
        <f>IF(A337="","",IF(P337&lt;=0,"eingelöst",IF(AND(I337&lt;&gt;"",TODAY()&gt;I337),"abgelaufen",IF(P337&lt;C337,"teilweise","offen"))))</f>
        <v/>
      </c>
    </row>
    <row r="338">
      <c r="A338" s="7" t="n"/>
      <c r="B338" s="8" t="n"/>
      <c r="C338" s="9" t="n"/>
      <c r="D338" s="10" t="n"/>
      <c r="E338" s="10" t="n"/>
      <c r="F338" s="10" t="n"/>
      <c r="G338" s="10" t="n"/>
      <c r="H338" s="10" t="n"/>
      <c r="I338" s="11">
        <f>IF(B338="","",DATE(YEAR(B338)+3,12,31))</f>
        <v/>
      </c>
      <c r="J338" s="8" t="n"/>
      <c r="K338" s="9" t="n"/>
      <c r="L338" s="8" t="n"/>
      <c r="M338" s="9" t="n"/>
      <c r="N338" s="8" t="n"/>
      <c r="O338" s="9" t="n"/>
      <c r="P338" s="12">
        <f>IF(C338="","",C338-SUM(K338,M338,O338))</f>
        <v/>
      </c>
      <c r="Q338" s="13">
        <f>IF(A338="","",IF(P338&lt;=0,"eingelöst",IF(AND(I338&lt;&gt;"",TODAY()&gt;I338),"abgelaufen",IF(P338&lt;C338,"teilweise","offen"))))</f>
        <v/>
      </c>
    </row>
    <row r="339">
      <c r="A339" s="7" t="n"/>
      <c r="B339" s="8" t="n"/>
      <c r="C339" s="9" t="n"/>
      <c r="D339" s="10" t="n"/>
      <c r="E339" s="10" t="n"/>
      <c r="F339" s="10" t="n"/>
      <c r="G339" s="10" t="n"/>
      <c r="H339" s="10" t="n"/>
      <c r="I339" s="11">
        <f>IF(B339="","",DATE(YEAR(B339)+3,12,31))</f>
        <v/>
      </c>
      <c r="J339" s="8" t="n"/>
      <c r="K339" s="9" t="n"/>
      <c r="L339" s="8" t="n"/>
      <c r="M339" s="9" t="n"/>
      <c r="N339" s="8" t="n"/>
      <c r="O339" s="9" t="n"/>
      <c r="P339" s="12">
        <f>IF(C339="","",C339-SUM(K339,M339,O339))</f>
        <v/>
      </c>
      <c r="Q339" s="13">
        <f>IF(A339="","",IF(P339&lt;=0,"eingelöst",IF(AND(I339&lt;&gt;"",TODAY()&gt;I339),"abgelaufen",IF(P339&lt;C339,"teilweise","offen"))))</f>
        <v/>
      </c>
    </row>
    <row r="340">
      <c r="A340" s="7" t="n"/>
      <c r="B340" s="8" t="n"/>
      <c r="C340" s="9" t="n"/>
      <c r="D340" s="10" t="n"/>
      <c r="E340" s="10" t="n"/>
      <c r="F340" s="10" t="n"/>
      <c r="G340" s="10" t="n"/>
      <c r="H340" s="10" t="n"/>
      <c r="I340" s="11">
        <f>IF(B340="","",DATE(YEAR(B340)+3,12,31))</f>
        <v/>
      </c>
      <c r="J340" s="8" t="n"/>
      <c r="K340" s="9" t="n"/>
      <c r="L340" s="8" t="n"/>
      <c r="M340" s="9" t="n"/>
      <c r="N340" s="8" t="n"/>
      <c r="O340" s="9" t="n"/>
      <c r="P340" s="12">
        <f>IF(C340="","",C340-SUM(K340,M340,O340))</f>
        <v/>
      </c>
      <c r="Q340" s="13">
        <f>IF(A340="","",IF(P340&lt;=0,"eingelöst",IF(AND(I340&lt;&gt;"",TODAY()&gt;I340),"abgelaufen",IF(P340&lt;C340,"teilweise","offen"))))</f>
        <v/>
      </c>
    </row>
    <row r="341">
      <c r="A341" s="7" t="n"/>
      <c r="B341" s="8" t="n"/>
      <c r="C341" s="9" t="n"/>
      <c r="D341" s="10" t="n"/>
      <c r="E341" s="10" t="n"/>
      <c r="F341" s="10" t="n"/>
      <c r="G341" s="10" t="n"/>
      <c r="H341" s="10" t="n"/>
      <c r="I341" s="11">
        <f>IF(B341="","",DATE(YEAR(B341)+3,12,31))</f>
        <v/>
      </c>
      <c r="J341" s="8" t="n"/>
      <c r="K341" s="9" t="n"/>
      <c r="L341" s="8" t="n"/>
      <c r="M341" s="9" t="n"/>
      <c r="N341" s="8" t="n"/>
      <c r="O341" s="9" t="n"/>
      <c r="P341" s="12">
        <f>IF(C341="","",C341-SUM(K341,M341,O341))</f>
        <v/>
      </c>
      <c r="Q341" s="13">
        <f>IF(A341="","",IF(P341&lt;=0,"eingelöst",IF(AND(I341&lt;&gt;"",TODAY()&gt;I341),"abgelaufen",IF(P341&lt;C341,"teilweise","offen"))))</f>
        <v/>
      </c>
    </row>
    <row r="342">
      <c r="A342" s="7" t="n"/>
      <c r="B342" s="8" t="n"/>
      <c r="C342" s="9" t="n"/>
      <c r="D342" s="10" t="n"/>
      <c r="E342" s="10" t="n"/>
      <c r="F342" s="10" t="n"/>
      <c r="G342" s="10" t="n"/>
      <c r="H342" s="10" t="n"/>
      <c r="I342" s="11">
        <f>IF(B342="","",DATE(YEAR(B342)+3,12,31))</f>
        <v/>
      </c>
      <c r="J342" s="8" t="n"/>
      <c r="K342" s="9" t="n"/>
      <c r="L342" s="8" t="n"/>
      <c r="M342" s="9" t="n"/>
      <c r="N342" s="8" t="n"/>
      <c r="O342" s="9" t="n"/>
      <c r="P342" s="12">
        <f>IF(C342="","",C342-SUM(K342,M342,O342))</f>
        <v/>
      </c>
      <c r="Q342" s="13">
        <f>IF(A342="","",IF(P342&lt;=0,"eingelöst",IF(AND(I342&lt;&gt;"",TODAY()&gt;I342),"abgelaufen",IF(P342&lt;C342,"teilweise","offen"))))</f>
        <v/>
      </c>
    </row>
    <row r="343">
      <c r="A343" s="7" t="n"/>
      <c r="B343" s="8" t="n"/>
      <c r="C343" s="9" t="n"/>
      <c r="D343" s="10" t="n"/>
      <c r="E343" s="10" t="n"/>
      <c r="F343" s="10" t="n"/>
      <c r="G343" s="10" t="n"/>
      <c r="H343" s="10" t="n"/>
      <c r="I343" s="11">
        <f>IF(B343="","",DATE(YEAR(B343)+3,12,31))</f>
        <v/>
      </c>
      <c r="J343" s="8" t="n"/>
      <c r="K343" s="9" t="n"/>
      <c r="L343" s="8" t="n"/>
      <c r="M343" s="9" t="n"/>
      <c r="N343" s="8" t="n"/>
      <c r="O343" s="9" t="n"/>
      <c r="P343" s="12">
        <f>IF(C343="","",C343-SUM(K343,M343,O343))</f>
        <v/>
      </c>
      <c r="Q343" s="13">
        <f>IF(A343="","",IF(P343&lt;=0,"eingelöst",IF(AND(I343&lt;&gt;"",TODAY()&gt;I343),"abgelaufen",IF(P343&lt;C343,"teilweise","offen"))))</f>
        <v/>
      </c>
    </row>
    <row r="344">
      <c r="A344" s="7" t="n"/>
      <c r="B344" s="8" t="n"/>
      <c r="C344" s="9" t="n"/>
      <c r="D344" s="10" t="n"/>
      <c r="E344" s="10" t="n"/>
      <c r="F344" s="10" t="n"/>
      <c r="G344" s="10" t="n"/>
      <c r="H344" s="10" t="n"/>
      <c r="I344" s="11">
        <f>IF(B344="","",DATE(YEAR(B344)+3,12,31))</f>
        <v/>
      </c>
      <c r="J344" s="8" t="n"/>
      <c r="K344" s="9" t="n"/>
      <c r="L344" s="8" t="n"/>
      <c r="M344" s="9" t="n"/>
      <c r="N344" s="8" t="n"/>
      <c r="O344" s="9" t="n"/>
      <c r="P344" s="12">
        <f>IF(C344="","",C344-SUM(K344,M344,O344))</f>
        <v/>
      </c>
      <c r="Q344" s="13">
        <f>IF(A344="","",IF(P344&lt;=0,"eingelöst",IF(AND(I344&lt;&gt;"",TODAY()&gt;I344),"abgelaufen",IF(P344&lt;C344,"teilweise","offen"))))</f>
        <v/>
      </c>
    </row>
    <row r="345">
      <c r="A345" s="7" t="n"/>
      <c r="B345" s="8" t="n"/>
      <c r="C345" s="9" t="n"/>
      <c r="D345" s="10" t="n"/>
      <c r="E345" s="10" t="n"/>
      <c r="F345" s="10" t="n"/>
      <c r="G345" s="10" t="n"/>
      <c r="H345" s="10" t="n"/>
      <c r="I345" s="11">
        <f>IF(B345="","",DATE(YEAR(B345)+3,12,31))</f>
        <v/>
      </c>
      <c r="J345" s="8" t="n"/>
      <c r="K345" s="9" t="n"/>
      <c r="L345" s="8" t="n"/>
      <c r="M345" s="9" t="n"/>
      <c r="N345" s="8" t="n"/>
      <c r="O345" s="9" t="n"/>
      <c r="P345" s="12">
        <f>IF(C345="","",C345-SUM(K345,M345,O345))</f>
        <v/>
      </c>
      <c r="Q345" s="13">
        <f>IF(A345="","",IF(P345&lt;=0,"eingelöst",IF(AND(I345&lt;&gt;"",TODAY()&gt;I345),"abgelaufen",IF(P345&lt;C345,"teilweise","offen"))))</f>
        <v/>
      </c>
    </row>
    <row r="346">
      <c r="A346" s="7" t="n"/>
      <c r="B346" s="8" t="n"/>
      <c r="C346" s="9" t="n"/>
      <c r="D346" s="10" t="n"/>
      <c r="E346" s="10" t="n"/>
      <c r="F346" s="10" t="n"/>
      <c r="G346" s="10" t="n"/>
      <c r="H346" s="10" t="n"/>
      <c r="I346" s="11">
        <f>IF(B346="","",DATE(YEAR(B346)+3,12,31))</f>
        <v/>
      </c>
      <c r="J346" s="8" t="n"/>
      <c r="K346" s="9" t="n"/>
      <c r="L346" s="8" t="n"/>
      <c r="M346" s="9" t="n"/>
      <c r="N346" s="8" t="n"/>
      <c r="O346" s="9" t="n"/>
      <c r="P346" s="12">
        <f>IF(C346="","",C346-SUM(K346,M346,O346))</f>
        <v/>
      </c>
      <c r="Q346" s="13">
        <f>IF(A346="","",IF(P346&lt;=0,"eingelöst",IF(AND(I346&lt;&gt;"",TODAY()&gt;I346),"abgelaufen",IF(P346&lt;C346,"teilweise","offen"))))</f>
        <v/>
      </c>
    </row>
    <row r="347">
      <c r="A347" s="7" t="n"/>
      <c r="B347" s="8" t="n"/>
      <c r="C347" s="9" t="n"/>
      <c r="D347" s="10" t="n"/>
      <c r="E347" s="10" t="n"/>
      <c r="F347" s="10" t="n"/>
      <c r="G347" s="10" t="n"/>
      <c r="H347" s="10" t="n"/>
      <c r="I347" s="11">
        <f>IF(B347="","",DATE(YEAR(B347)+3,12,31))</f>
        <v/>
      </c>
      <c r="J347" s="8" t="n"/>
      <c r="K347" s="9" t="n"/>
      <c r="L347" s="8" t="n"/>
      <c r="M347" s="9" t="n"/>
      <c r="N347" s="8" t="n"/>
      <c r="O347" s="9" t="n"/>
      <c r="P347" s="12">
        <f>IF(C347="","",C347-SUM(K347,M347,O347))</f>
        <v/>
      </c>
      <c r="Q347" s="13">
        <f>IF(A347="","",IF(P347&lt;=0,"eingelöst",IF(AND(I347&lt;&gt;"",TODAY()&gt;I347),"abgelaufen",IF(P347&lt;C347,"teilweise","offen"))))</f>
        <v/>
      </c>
    </row>
    <row r="348">
      <c r="A348" s="7" t="n"/>
      <c r="B348" s="8" t="n"/>
      <c r="C348" s="9" t="n"/>
      <c r="D348" s="10" t="n"/>
      <c r="E348" s="10" t="n"/>
      <c r="F348" s="10" t="n"/>
      <c r="G348" s="10" t="n"/>
      <c r="H348" s="10" t="n"/>
      <c r="I348" s="11">
        <f>IF(B348="","",DATE(YEAR(B348)+3,12,31))</f>
        <v/>
      </c>
      <c r="J348" s="8" t="n"/>
      <c r="K348" s="9" t="n"/>
      <c r="L348" s="8" t="n"/>
      <c r="M348" s="9" t="n"/>
      <c r="N348" s="8" t="n"/>
      <c r="O348" s="9" t="n"/>
      <c r="P348" s="12">
        <f>IF(C348="","",C348-SUM(K348,M348,O348))</f>
        <v/>
      </c>
      <c r="Q348" s="13">
        <f>IF(A348="","",IF(P348&lt;=0,"eingelöst",IF(AND(I348&lt;&gt;"",TODAY()&gt;I348),"abgelaufen",IF(P348&lt;C348,"teilweise","offen"))))</f>
        <v/>
      </c>
    </row>
    <row r="349">
      <c r="A349" s="7" t="n"/>
      <c r="B349" s="8" t="n"/>
      <c r="C349" s="9" t="n"/>
      <c r="D349" s="10" t="n"/>
      <c r="E349" s="10" t="n"/>
      <c r="F349" s="10" t="n"/>
      <c r="G349" s="10" t="n"/>
      <c r="H349" s="10" t="n"/>
      <c r="I349" s="11">
        <f>IF(B349="","",DATE(YEAR(B349)+3,12,31))</f>
        <v/>
      </c>
      <c r="J349" s="8" t="n"/>
      <c r="K349" s="9" t="n"/>
      <c r="L349" s="8" t="n"/>
      <c r="M349" s="9" t="n"/>
      <c r="N349" s="8" t="n"/>
      <c r="O349" s="9" t="n"/>
      <c r="P349" s="12">
        <f>IF(C349="","",C349-SUM(K349,M349,O349))</f>
        <v/>
      </c>
      <c r="Q349" s="13">
        <f>IF(A349="","",IF(P349&lt;=0,"eingelöst",IF(AND(I349&lt;&gt;"",TODAY()&gt;I349),"abgelaufen",IF(P349&lt;C349,"teilweise","offen"))))</f>
        <v/>
      </c>
    </row>
    <row r="350">
      <c r="A350" s="7" t="n"/>
      <c r="B350" s="8" t="n"/>
      <c r="C350" s="9" t="n"/>
      <c r="D350" s="10" t="n"/>
      <c r="E350" s="10" t="n"/>
      <c r="F350" s="10" t="n"/>
      <c r="G350" s="10" t="n"/>
      <c r="H350" s="10" t="n"/>
      <c r="I350" s="11">
        <f>IF(B350="","",DATE(YEAR(B350)+3,12,31))</f>
        <v/>
      </c>
      <c r="J350" s="8" t="n"/>
      <c r="K350" s="9" t="n"/>
      <c r="L350" s="8" t="n"/>
      <c r="M350" s="9" t="n"/>
      <c r="N350" s="8" t="n"/>
      <c r="O350" s="9" t="n"/>
      <c r="P350" s="12">
        <f>IF(C350="","",C350-SUM(K350,M350,O350))</f>
        <v/>
      </c>
      <c r="Q350" s="13">
        <f>IF(A350="","",IF(P350&lt;=0,"eingelöst",IF(AND(I350&lt;&gt;"",TODAY()&gt;I350),"abgelaufen",IF(P350&lt;C350,"teilweise","offen"))))</f>
        <v/>
      </c>
    </row>
    <row r="351">
      <c r="A351" s="7" t="n"/>
      <c r="B351" s="8" t="n"/>
      <c r="C351" s="9" t="n"/>
      <c r="D351" s="10" t="n"/>
      <c r="E351" s="10" t="n"/>
      <c r="F351" s="10" t="n"/>
      <c r="G351" s="10" t="n"/>
      <c r="H351" s="10" t="n"/>
      <c r="I351" s="11">
        <f>IF(B351="","",DATE(YEAR(B351)+3,12,31))</f>
        <v/>
      </c>
      <c r="J351" s="8" t="n"/>
      <c r="K351" s="9" t="n"/>
      <c r="L351" s="8" t="n"/>
      <c r="M351" s="9" t="n"/>
      <c r="N351" s="8" t="n"/>
      <c r="O351" s="9" t="n"/>
      <c r="P351" s="12">
        <f>IF(C351="","",C351-SUM(K351,M351,O351))</f>
        <v/>
      </c>
      <c r="Q351" s="13">
        <f>IF(A351="","",IF(P351&lt;=0,"eingelöst",IF(AND(I351&lt;&gt;"",TODAY()&gt;I351),"abgelaufen",IF(P351&lt;C351,"teilweise","offen"))))</f>
        <v/>
      </c>
    </row>
    <row r="352">
      <c r="A352" s="7" t="n"/>
      <c r="B352" s="8" t="n"/>
      <c r="C352" s="9" t="n"/>
      <c r="D352" s="10" t="n"/>
      <c r="E352" s="10" t="n"/>
      <c r="F352" s="10" t="n"/>
      <c r="G352" s="10" t="n"/>
      <c r="H352" s="10" t="n"/>
      <c r="I352" s="11">
        <f>IF(B352="","",DATE(YEAR(B352)+3,12,31))</f>
        <v/>
      </c>
      <c r="J352" s="8" t="n"/>
      <c r="K352" s="9" t="n"/>
      <c r="L352" s="8" t="n"/>
      <c r="M352" s="9" t="n"/>
      <c r="N352" s="8" t="n"/>
      <c r="O352" s="9" t="n"/>
      <c r="P352" s="12">
        <f>IF(C352="","",C352-SUM(K352,M352,O352))</f>
        <v/>
      </c>
      <c r="Q352" s="13">
        <f>IF(A352="","",IF(P352&lt;=0,"eingelöst",IF(AND(I352&lt;&gt;"",TODAY()&gt;I352),"abgelaufen",IF(P352&lt;C352,"teilweise","offen"))))</f>
        <v/>
      </c>
    </row>
    <row r="353">
      <c r="A353" s="7" t="n"/>
      <c r="B353" s="8" t="n"/>
      <c r="C353" s="9" t="n"/>
      <c r="D353" s="10" t="n"/>
      <c r="E353" s="10" t="n"/>
      <c r="F353" s="10" t="n"/>
      <c r="G353" s="10" t="n"/>
      <c r="H353" s="10" t="n"/>
      <c r="I353" s="11">
        <f>IF(B353="","",DATE(YEAR(B353)+3,12,31))</f>
        <v/>
      </c>
      <c r="J353" s="8" t="n"/>
      <c r="K353" s="9" t="n"/>
      <c r="L353" s="8" t="n"/>
      <c r="M353" s="9" t="n"/>
      <c r="N353" s="8" t="n"/>
      <c r="O353" s="9" t="n"/>
      <c r="P353" s="12">
        <f>IF(C353="","",C353-SUM(K353,M353,O353))</f>
        <v/>
      </c>
      <c r="Q353" s="13">
        <f>IF(A353="","",IF(P353&lt;=0,"eingelöst",IF(AND(I353&lt;&gt;"",TODAY()&gt;I353),"abgelaufen",IF(P353&lt;C353,"teilweise","offen"))))</f>
        <v/>
      </c>
    </row>
    <row r="354">
      <c r="A354" s="7" t="n"/>
      <c r="B354" s="8" t="n"/>
      <c r="C354" s="9" t="n"/>
      <c r="D354" s="10" t="n"/>
      <c r="E354" s="10" t="n"/>
      <c r="F354" s="10" t="n"/>
      <c r="G354" s="10" t="n"/>
      <c r="H354" s="10" t="n"/>
      <c r="I354" s="11">
        <f>IF(B354="","",DATE(YEAR(B354)+3,12,31))</f>
        <v/>
      </c>
      <c r="J354" s="8" t="n"/>
      <c r="K354" s="9" t="n"/>
      <c r="L354" s="8" t="n"/>
      <c r="M354" s="9" t="n"/>
      <c r="N354" s="8" t="n"/>
      <c r="O354" s="9" t="n"/>
      <c r="P354" s="12">
        <f>IF(C354="","",C354-SUM(K354,M354,O354))</f>
        <v/>
      </c>
      <c r="Q354" s="13">
        <f>IF(A354="","",IF(P354&lt;=0,"eingelöst",IF(AND(I354&lt;&gt;"",TODAY()&gt;I354),"abgelaufen",IF(P354&lt;C354,"teilweise","offen"))))</f>
        <v/>
      </c>
    </row>
    <row r="355">
      <c r="A355" s="7" t="n"/>
      <c r="B355" s="8" t="n"/>
      <c r="C355" s="9" t="n"/>
      <c r="D355" s="10" t="n"/>
      <c r="E355" s="10" t="n"/>
      <c r="F355" s="10" t="n"/>
      <c r="G355" s="10" t="n"/>
      <c r="H355" s="10" t="n"/>
      <c r="I355" s="11">
        <f>IF(B355="","",DATE(YEAR(B355)+3,12,31))</f>
        <v/>
      </c>
      <c r="J355" s="8" t="n"/>
      <c r="K355" s="9" t="n"/>
      <c r="L355" s="8" t="n"/>
      <c r="M355" s="9" t="n"/>
      <c r="N355" s="8" t="n"/>
      <c r="O355" s="9" t="n"/>
      <c r="P355" s="12">
        <f>IF(C355="","",C355-SUM(K355,M355,O355))</f>
        <v/>
      </c>
      <c r="Q355" s="13">
        <f>IF(A355="","",IF(P355&lt;=0,"eingelöst",IF(AND(I355&lt;&gt;"",TODAY()&gt;I355),"abgelaufen",IF(P355&lt;C355,"teilweise","offen"))))</f>
        <v/>
      </c>
    </row>
    <row r="356">
      <c r="A356" s="7" t="n"/>
      <c r="B356" s="8" t="n"/>
      <c r="C356" s="9" t="n"/>
      <c r="D356" s="10" t="n"/>
      <c r="E356" s="10" t="n"/>
      <c r="F356" s="10" t="n"/>
      <c r="G356" s="10" t="n"/>
      <c r="H356" s="10" t="n"/>
      <c r="I356" s="11">
        <f>IF(B356="","",DATE(YEAR(B356)+3,12,31))</f>
        <v/>
      </c>
      <c r="J356" s="8" t="n"/>
      <c r="K356" s="9" t="n"/>
      <c r="L356" s="8" t="n"/>
      <c r="M356" s="9" t="n"/>
      <c r="N356" s="8" t="n"/>
      <c r="O356" s="9" t="n"/>
      <c r="P356" s="12">
        <f>IF(C356="","",C356-SUM(K356,M356,O356))</f>
        <v/>
      </c>
      <c r="Q356" s="13">
        <f>IF(A356="","",IF(P356&lt;=0,"eingelöst",IF(AND(I356&lt;&gt;"",TODAY()&gt;I356),"abgelaufen",IF(P356&lt;C356,"teilweise","offen"))))</f>
        <v/>
      </c>
    </row>
    <row r="357">
      <c r="A357" s="7" t="n"/>
      <c r="B357" s="8" t="n"/>
      <c r="C357" s="9" t="n"/>
      <c r="D357" s="10" t="n"/>
      <c r="E357" s="10" t="n"/>
      <c r="F357" s="10" t="n"/>
      <c r="G357" s="10" t="n"/>
      <c r="H357" s="10" t="n"/>
      <c r="I357" s="11">
        <f>IF(B357="","",DATE(YEAR(B357)+3,12,31))</f>
        <v/>
      </c>
      <c r="J357" s="8" t="n"/>
      <c r="K357" s="9" t="n"/>
      <c r="L357" s="8" t="n"/>
      <c r="M357" s="9" t="n"/>
      <c r="N357" s="8" t="n"/>
      <c r="O357" s="9" t="n"/>
      <c r="P357" s="12">
        <f>IF(C357="","",C357-SUM(K357,M357,O357))</f>
        <v/>
      </c>
      <c r="Q357" s="13">
        <f>IF(A357="","",IF(P357&lt;=0,"eingelöst",IF(AND(I357&lt;&gt;"",TODAY()&gt;I357),"abgelaufen",IF(P357&lt;C357,"teilweise","offen"))))</f>
        <v/>
      </c>
    </row>
    <row r="358">
      <c r="A358" s="7" t="n"/>
      <c r="B358" s="8" t="n"/>
      <c r="C358" s="9" t="n"/>
      <c r="D358" s="10" t="n"/>
      <c r="E358" s="10" t="n"/>
      <c r="F358" s="10" t="n"/>
      <c r="G358" s="10" t="n"/>
      <c r="H358" s="10" t="n"/>
      <c r="I358" s="11">
        <f>IF(B358="","",DATE(YEAR(B358)+3,12,31))</f>
        <v/>
      </c>
      <c r="J358" s="8" t="n"/>
      <c r="K358" s="9" t="n"/>
      <c r="L358" s="8" t="n"/>
      <c r="M358" s="9" t="n"/>
      <c r="N358" s="8" t="n"/>
      <c r="O358" s="9" t="n"/>
      <c r="P358" s="12">
        <f>IF(C358="","",C358-SUM(K358,M358,O358))</f>
        <v/>
      </c>
      <c r="Q358" s="13">
        <f>IF(A358="","",IF(P358&lt;=0,"eingelöst",IF(AND(I358&lt;&gt;"",TODAY()&gt;I358),"abgelaufen",IF(P358&lt;C358,"teilweise","offen"))))</f>
        <v/>
      </c>
    </row>
    <row r="359">
      <c r="A359" s="7" t="n"/>
      <c r="B359" s="8" t="n"/>
      <c r="C359" s="9" t="n"/>
      <c r="D359" s="10" t="n"/>
      <c r="E359" s="10" t="n"/>
      <c r="F359" s="10" t="n"/>
      <c r="G359" s="10" t="n"/>
      <c r="H359" s="10" t="n"/>
      <c r="I359" s="11">
        <f>IF(B359="","",DATE(YEAR(B359)+3,12,31))</f>
        <v/>
      </c>
      <c r="J359" s="8" t="n"/>
      <c r="K359" s="9" t="n"/>
      <c r="L359" s="8" t="n"/>
      <c r="M359" s="9" t="n"/>
      <c r="N359" s="8" t="n"/>
      <c r="O359" s="9" t="n"/>
      <c r="P359" s="12">
        <f>IF(C359="","",C359-SUM(K359,M359,O359))</f>
        <v/>
      </c>
      <c r="Q359" s="13">
        <f>IF(A359="","",IF(P359&lt;=0,"eingelöst",IF(AND(I359&lt;&gt;"",TODAY()&gt;I359),"abgelaufen",IF(P359&lt;C359,"teilweise","offen"))))</f>
        <v/>
      </c>
    </row>
    <row r="360">
      <c r="A360" s="7" t="n"/>
      <c r="B360" s="8" t="n"/>
      <c r="C360" s="9" t="n"/>
      <c r="D360" s="10" t="n"/>
      <c r="E360" s="10" t="n"/>
      <c r="F360" s="10" t="n"/>
      <c r="G360" s="10" t="n"/>
      <c r="H360" s="10" t="n"/>
      <c r="I360" s="11">
        <f>IF(B360="","",DATE(YEAR(B360)+3,12,31))</f>
        <v/>
      </c>
      <c r="J360" s="8" t="n"/>
      <c r="K360" s="9" t="n"/>
      <c r="L360" s="8" t="n"/>
      <c r="M360" s="9" t="n"/>
      <c r="N360" s="8" t="n"/>
      <c r="O360" s="9" t="n"/>
      <c r="P360" s="12">
        <f>IF(C360="","",C360-SUM(K360,M360,O360))</f>
        <v/>
      </c>
      <c r="Q360" s="13">
        <f>IF(A360="","",IF(P360&lt;=0,"eingelöst",IF(AND(I360&lt;&gt;"",TODAY()&gt;I360),"abgelaufen",IF(P360&lt;C360,"teilweise","offen"))))</f>
        <v/>
      </c>
    </row>
    <row r="361">
      <c r="A361" s="7" t="n"/>
      <c r="B361" s="8" t="n"/>
      <c r="C361" s="9" t="n"/>
      <c r="D361" s="10" t="n"/>
      <c r="E361" s="10" t="n"/>
      <c r="F361" s="10" t="n"/>
      <c r="G361" s="10" t="n"/>
      <c r="H361" s="10" t="n"/>
      <c r="I361" s="11">
        <f>IF(B361="","",DATE(YEAR(B361)+3,12,31))</f>
        <v/>
      </c>
      <c r="J361" s="8" t="n"/>
      <c r="K361" s="9" t="n"/>
      <c r="L361" s="8" t="n"/>
      <c r="M361" s="9" t="n"/>
      <c r="N361" s="8" t="n"/>
      <c r="O361" s="9" t="n"/>
      <c r="P361" s="12">
        <f>IF(C361="","",C361-SUM(K361,M361,O361))</f>
        <v/>
      </c>
      <c r="Q361" s="13">
        <f>IF(A361="","",IF(P361&lt;=0,"eingelöst",IF(AND(I361&lt;&gt;"",TODAY()&gt;I361),"abgelaufen",IF(P361&lt;C361,"teilweise","offen"))))</f>
        <v/>
      </c>
    </row>
    <row r="362">
      <c r="A362" s="7" t="n"/>
      <c r="B362" s="8" t="n"/>
      <c r="C362" s="9" t="n"/>
      <c r="D362" s="10" t="n"/>
      <c r="E362" s="10" t="n"/>
      <c r="F362" s="10" t="n"/>
      <c r="G362" s="10" t="n"/>
      <c r="H362" s="10" t="n"/>
      <c r="I362" s="11">
        <f>IF(B362="","",DATE(YEAR(B362)+3,12,31))</f>
        <v/>
      </c>
      <c r="J362" s="8" t="n"/>
      <c r="K362" s="9" t="n"/>
      <c r="L362" s="8" t="n"/>
      <c r="M362" s="9" t="n"/>
      <c r="N362" s="8" t="n"/>
      <c r="O362" s="9" t="n"/>
      <c r="P362" s="12">
        <f>IF(C362="","",C362-SUM(K362,M362,O362))</f>
        <v/>
      </c>
      <c r="Q362" s="13">
        <f>IF(A362="","",IF(P362&lt;=0,"eingelöst",IF(AND(I362&lt;&gt;"",TODAY()&gt;I362),"abgelaufen",IF(P362&lt;C362,"teilweise","offen"))))</f>
        <v/>
      </c>
    </row>
    <row r="363">
      <c r="A363" s="7" t="n"/>
      <c r="B363" s="8" t="n"/>
      <c r="C363" s="9" t="n"/>
      <c r="D363" s="10" t="n"/>
      <c r="E363" s="10" t="n"/>
      <c r="F363" s="10" t="n"/>
      <c r="G363" s="10" t="n"/>
      <c r="H363" s="10" t="n"/>
      <c r="I363" s="11">
        <f>IF(B363="","",DATE(YEAR(B363)+3,12,31))</f>
        <v/>
      </c>
      <c r="J363" s="8" t="n"/>
      <c r="K363" s="9" t="n"/>
      <c r="L363" s="8" t="n"/>
      <c r="M363" s="9" t="n"/>
      <c r="N363" s="8" t="n"/>
      <c r="O363" s="9" t="n"/>
      <c r="P363" s="12">
        <f>IF(C363="","",C363-SUM(K363,M363,O363))</f>
        <v/>
      </c>
      <c r="Q363" s="13">
        <f>IF(A363="","",IF(P363&lt;=0,"eingelöst",IF(AND(I363&lt;&gt;"",TODAY()&gt;I363),"abgelaufen",IF(P363&lt;C363,"teilweise","offen"))))</f>
        <v/>
      </c>
    </row>
    <row r="364">
      <c r="A364" s="7" t="n"/>
      <c r="B364" s="8" t="n"/>
      <c r="C364" s="9" t="n"/>
      <c r="D364" s="10" t="n"/>
      <c r="E364" s="10" t="n"/>
      <c r="F364" s="10" t="n"/>
      <c r="G364" s="10" t="n"/>
      <c r="H364" s="10" t="n"/>
      <c r="I364" s="11">
        <f>IF(B364="","",DATE(YEAR(B364)+3,12,31))</f>
        <v/>
      </c>
      <c r="J364" s="8" t="n"/>
      <c r="K364" s="9" t="n"/>
      <c r="L364" s="8" t="n"/>
      <c r="M364" s="9" t="n"/>
      <c r="N364" s="8" t="n"/>
      <c r="O364" s="9" t="n"/>
      <c r="P364" s="12">
        <f>IF(C364="","",C364-SUM(K364,M364,O364))</f>
        <v/>
      </c>
      <c r="Q364" s="13">
        <f>IF(A364="","",IF(P364&lt;=0,"eingelöst",IF(AND(I364&lt;&gt;"",TODAY()&gt;I364),"abgelaufen",IF(P364&lt;C364,"teilweise","offen"))))</f>
        <v/>
      </c>
    </row>
    <row r="365">
      <c r="A365" s="7" t="n"/>
      <c r="B365" s="8" t="n"/>
      <c r="C365" s="9" t="n"/>
      <c r="D365" s="10" t="n"/>
      <c r="E365" s="10" t="n"/>
      <c r="F365" s="10" t="n"/>
      <c r="G365" s="10" t="n"/>
      <c r="H365" s="10" t="n"/>
      <c r="I365" s="11">
        <f>IF(B365="","",DATE(YEAR(B365)+3,12,31))</f>
        <v/>
      </c>
      <c r="J365" s="8" t="n"/>
      <c r="K365" s="9" t="n"/>
      <c r="L365" s="8" t="n"/>
      <c r="M365" s="9" t="n"/>
      <c r="N365" s="8" t="n"/>
      <c r="O365" s="9" t="n"/>
      <c r="P365" s="12">
        <f>IF(C365="","",C365-SUM(K365,M365,O365))</f>
        <v/>
      </c>
      <c r="Q365" s="13">
        <f>IF(A365="","",IF(P365&lt;=0,"eingelöst",IF(AND(I365&lt;&gt;"",TODAY()&gt;I365),"abgelaufen",IF(P365&lt;C365,"teilweise","offen"))))</f>
        <v/>
      </c>
    </row>
    <row r="366">
      <c r="A366" s="7" t="n"/>
      <c r="B366" s="8" t="n"/>
      <c r="C366" s="9" t="n"/>
      <c r="D366" s="10" t="n"/>
      <c r="E366" s="10" t="n"/>
      <c r="F366" s="10" t="n"/>
      <c r="G366" s="10" t="n"/>
      <c r="H366" s="10" t="n"/>
      <c r="I366" s="11">
        <f>IF(B366="","",DATE(YEAR(B366)+3,12,31))</f>
        <v/>
      </c>
      <c r="J366" s="8" t="n"/>
      <c r="K366" s="9" t="n"/>
      <c r="L366" s="8" t="n"/>
      <c r="M366" s="9" t="n"/>
      <c r="N366" s="8" t="n"/>
      <c r="O366" s="9" t="n"/>
      <c r="P366" s="12">
        <f>IF(C366="","",C366-SUM(K366,M366,O366))</f>
        <v/>
      </c>
      <c r="Q366" s="13">
        <f>IF(A366="","",IF(P366&lt;=0,"eingelöst",IF(AND(I366&lt;&gt;"",TODAY()&gt;I366),"abgelaufen",IF(P366&lt;C366,"teilweise","offen"))))</f>
        <v/>
      </c>
    </row>
    <row r="367">
      <c r="A367" s="7" t="n"/>
      <c r="B367" s="8" t="n"/>
      <c r="C367" s="9" t="n"/>
      <c r="D367" s="10" t="n"/>
      <c r="E367" s="10" t="n"/>
      <c r="F367" s="10" t="n"/>
      <c r="G367" s="10" t="n"/>
      <c r="H367" s="10" t="n"/>
      <c r="I367" s="11">
        <f>IF(B367="","",DATE(YEAR(B367)+3,12,31))</f>
        <v/>
      </c>
      <c r="J367" s="8" t="n"/>
      <c r="K367" s="9" t="n"/>
      <c r="L367" s="8" t="n"/>
      <c r="M367" s="9" t="n"/>
      <c r="N367" s="8" t="n"/>
      <c r="O367" s="9" t="n"/>
      <c r="P367" s="12">
        <f>IF(C367="","",C367-SUM(K367,M367,O367))</f>
        <v/>
      </c>
      <c r="Q367" s="13">
        <f>IF(A367="","",IF(P367&lt;=0,"eingelöst",IF(AND(I367&lt;&gt;"",TODAY()&gt;I367),"abgelaufen",IF(P367&lt;C367,"teilweise","offen"))))</f>
        <v/>
      </c>
    </row>
    <row r="368">
      <c r="A368" s="7" t="n"/>
      <c r="B368" s="8" t="n"/>
      <c r="C368" s="9" t="n"/>
      <c r="D368" s="10" t="n"/>
      <c r="E368" s="10" t="n"/>
      <c r="F368" s="10" t="n"/>
      <c r="G368" s="10" t="n"/>
      <c r="H368" s="10" t="n"/>
      <c r="I368" s="11">
        <f>IF(B368="","",DATE(YEAR(B368)+3,12,31))</f>
        <v/>
      </c>
      <c r="J368" s="8" t="n"/>
      <c r="K368" s="9" t="n"/>
      <c r="L368" s="8" t="n"/>
      <c r="M368" s="9" t="n"/>
      <c r="N368" s="8" t="n"/>
      <c r="O368" s="9" t="n"/>
      <c r="P368" s="12">
        <f>IF(C368="","",C368-SUM(K368,M368,O368))</f>
        <v/>
      </c>
      <c r="Q368" s="13">
        <f>IF(A368="","",IF(P368&lt;=0,"eingelöst",IF(AND(I368&lt;&gt;"",TODAY()&gt;I368),"abgelaufen",IF(P368&lt;C368,"teilweise","offen"))))</f>
        <v/>
      </c>
    </row>
    <row r="369">
      <c r="A369" s="7" t="n"/>
      <c r="B369" s="8" t="n"/>
      <c r="C369" s="9" t="n"/>
      <c r="D369" s="10" t="n"/>
      <c r="E369" s="10" t="n"/>
      <c r="F369" s="10" t="n"/>
      <c r="G369" s="10" t="n"/>
      <c r="H369" s="10" t="n"/>
      <c r="I369" s="11">
        <f>IF(B369="","",DATE(YEAR(B369)+3,12,31))</f>
        <v/>
      </c>
      <c r="J369" s="8" t="n"/>
      <c r="K369" s="9" t="n"/>
      <c r="L369" s="8" t="n"/>
      <c r="M369" s="9" t="n"/>
      <c r="N369" s="8" t="n"/>
      <c r="O369" s="9" t="n"/>
      <c r="P369" s="12">
        <f>IF(C369="","",C369-SUM(K369,M369,O369))</f>
        <v/>
      </c>
      <c r="Q369" s="13">
        <f>IF(A369="","",IF(P369&lt;=0,"eingelöst",IF(AND(I369&lt;&gt;"",TODAY()&gt;I369),"abgelaufen",IF(P369&lt;C369,"teilweise","offen"))))</f>
        <v/>
      </c>
    </row>
    <row r="370">
      <c r="A370" s="7" t="n"/>
      <c r="B370" s="8" t="n"/>
      <c r="C370" s="9" t="n"/>
      <c r="D370" s="10" t="n"/>
      <c r="E370" s="10" t="n"/>
      <c r="F370" s="10" t="n"/>
      <c r="G370" s="10" t="n"/>
      <c r="H370" s="10" t="n"/>
      <c r="I370" s="11">
        <f>IF(B370="","",DATE(YEAR(B370)+3,12,31))</f>
        <v/>
      </c>
      <c r="J370" s="8" t="n"/>
      <c r="K370" s="9" t="n"/>
      <c r="L370" s="8" t="n"/>
      <c r="M370" s="9" t="n"/>
      <c r="N370" s="8" t="n"/>
      <c r="O370" s="9" t="n"/>
      <c r="P370" s="12">
        <f>IF(C370="","",C370-SUM(K370,M370,O370))</f>
        <v/>
      </c>
      <c r="Q370" s="13">
        <f>IF(A370="","",IF(P370&lt;=0,"eingelöst",IF(AND(I370&lt;&gt;"",TODAY()&gt;I370),"abgelaufen",IF(P370&lt;C370,"teilweise","offen"))))</f>
        <v/>
      </c>
    </row>
    <row r="371">
      <c r="A371" s="7" t="n"/>
      <c r="B371" s="8" t="n"/>
      <c r="C371" s="9" t="n"/>
      <c r="D371" s="10" t="n"/>
      <c r="E371" s="10" t="n"/>
      <c r="F371" s="10" t="n"/>
      <c r="G371" s="10" t="n"/>
      <c r="H371" s="10" t="n"/>
      <c r="I371" s="11">
        <f>IF(B371="","",DATE(YEAR(B371)+3,12,31))</f>
        <v/>
      </c>
      <c r="J371" s="8" t="n"/>
      <c r="K371" s="9" t="n"/>
      <c r="L371" s="8" t="n"/>
      <c r="M371" s="9" t="n"/>
      <c r="N371" s="8" t="n"/>
      <c r="O371" s="9" t="n"/>
      <c r="P371" s="12">
        <f>IF(C371="","",C371-SUM(K371,M371,O371))</f>
        <v/>
      </c>
      <c r="Q371" s="13">
        <f>IF(A371="","",IF(P371&lt;=0,"eingelöst",IF(AND(I371&lt;&gt;"",TODAY()&gt;I371),"abgelaufen",IF(P371&lt;C371,"teilweise","offen"))))</f>
        <v/>
      </c>
    </row>
    <row r="372">
      <c r="A372" s="7" t="n"/>
      <c r="B372" s="8" t="n"/>
      <c r="C372" s="9" t="n"/>
      <c r="D372" s="10" t="n"/>
      <c r="E372" s="10" t="n"/>
      <c r="F372" s="10" t="n"/>
      <c r="G372" s="10" t="n"/>
      <c r="H372" s="10" t="n"/>
      <c r="I372" s="11">
        <f>IF(B372="","",DATE(YEAR(B372)+3,12,31))</f>
        <v/>
      </c>
      <c r="J372" s="8" t="n"/>
      <c r="K372" s="9" t="n"/>
      <c r="L372" s="8" t="n"/>
      <c r="M372" s="9" t="n"/>
      <c r="N372" s="8" t="n"/>
      <c r="O372" s="9" t="n"/>
      <c r="P372" s="12">
        <f>IF(C372="","",C372-SUM(K372,M372,O372))</f>
        <v/>
      </c>
      <c r="Q372" s="13">
        <f>IF(A372="","",IF(P372&lt;=0,"eingelöst",IF(AND(I372&lt;&gt;"",TODAY()&gt;I372),"abgelaufen",IF(P372&lt;C372,"teilweise","offen"))))</f>
        <v/>
      </c>
    </row>
    <row r="373">
      <c r="A373" s="7" t="n"/>
      <c r="B373" s="8" t="n"/>
      <c r="C373" s="9" t="n"/>
      <c r="D373" s="10" t="n"/>
      <c r="E373" s="10" t="n"/>
      <c r="F373" s="10" t="n"/>
      <c r="G373" s="10" t="n"/>
      <c r="H373" s="10" t="n"/>
      <c r="I373" s="11">
        <f>IF(B373="","",DATE(YEAR(B373)+3,12,31))</f>
        <v/>
      </c>
      <c r="J373" s="8" t="n"/>
      <c r="K373" s="9" t="n"/>
      <c r="L373" s="8" t="n"/>
      <c r="M373" s="9" t="n"/>
      <c r="N373" s="8" t="n"/>
      <c r="O373" s="9" t="n"/>
      <c r="P373" s="12">
        <f>IF(C373="","",C373-SUM(K373,M373,O373))</f>
        <v/>
      </c>
      <c r="Q373" s="13">
        <f>IF(A373="","",IF(P373&lt;=0,"eingelöst",IF(AND(I373&lt;&gt;"",TODAY()&gt;I373),"abgelaufen",IF(P373&lt;C373,"teilweise","offen"))))</f>
        <v/>
      </c>
    </row>
    <row r="374">
      <c r="A374" s="7" t="n"/>
      <c r="B374" s="8" t="n"/>
      <c r="C374" s="9" t="n"/>
      <c r="D374" s="10" t="n"/>
      <c r="E374" s="10" t="n"/>
      <c r="F374" s="10" t="n"/>
      <c r="G374" s="10" t="n"/>
      <c r="H374" s="10" t="n"/>
      <c r="I374" s="11">
        <f>IF(B374="","",DATE(YEAR(B374)+3,12,31))</f>
        <v/>
      </c>
      <c r="J374" s="8" t="n"/>
      <c r="K374" s="9" t="n"/>
      <c r="L374" s="8" t="n"/>
      <c r="M374" s="9" t="n"/>
      <c r="N374" s="8" t="n"/>
      <c r="O374" s="9" t="n"/>
      <c r="P374" s="12">
        <f>IF(C374="","",C374-SUM(K374,M374,O374))</f>
        <v/>
      </c>
      <c r="Q374" s="13">
        <f>IF(A374="","",IF(P374&lt;=0,"eingelöst",IF(AND(I374&lt;&gt;"",TODAY()&gt;I374),"abgelaufen",IF(P374&lt;C374,"teilweise","offen"))))</f>
        <v/>
      </c>
    </row>
    <row r="375">
      <c r="A375" s="7" t="n"/>
      <c r="B375" s="8" t="n"/>
      <c r="C375" s="9" t="n"/>
      <c r="D375" s="10" t="n"/>
      <c r="E375" s="10" t="n"/>
      <c r="F375" s="10" t="n"/>
      <c r="G375" s="10" t="n"/>
      <c r="H375" s="10" t="n"/>
      <c r="I375" s="11">
        <f>IF(B375="","",DATE(YEAR(B375)+3,12,31))</f>
        <v/>
      </c>
      <c r="J375" s="8" t="n"/>
      <c r="K375" s="9" t="n"/>
      <c r="L375" s="8" t="n"/>
      <c r="M375" s="9" t="n"/>
      <c r="N375" s="8" t="n"/>
      <c r="O375" s="9" t="n"/>
      <c r="P375" s="12">
        <f>IF(C375="","",C375-SUM(K375,M375,O375))</f>
        <v/>
      </c>
      <c r="Q375" s="13">
        <f>IF(A375="","",IF(P375&lt;=0,"eingelöst",IF(AND(I375&lt;&gt;"",TODAY()&gt;I375),"abgelaufen",IF(P375&lt;C375,"teilweise","offen"))))</f>
        <v/>
      </c>
    </row>
    <row r="376">
      <c r="A376" s="7" t="n"/>
      <c r="B376" s="8" t="n"/>
      <c r="C376" s="9" t="n"/>
      <c r="D376" s="10" t="n"/>
      <c r="E376" s="10" t="n"/>
      <c r="F376" s="10" t="n"/>
      <c r="G376" s="10" t="n"/>
      <c r="H376" s="10" t="n"/>
      <c r="I376" s="11">
        <f>IF(B376="","",DATE(YEAR(B376)+3,12,31))</f>
        <v/>
      </c>
      <c r="J376" s="8" t="n"/>
      <c r="K376" s="9" t="n"/>
      <c r="L376" s="8" t="n"/>
      <c r="M376" s="9" t="n"/>
      <c r="N376" s="8" t="n"/>
      <c r="O376" s="9" t="n"/>
      <c r="P376" s="12">
        <f>IF(C376="","",C376-SUM(K376,M376,O376))</f>
        <v/>
      </c>
      <c r="Q376" s="13">
        <f>IF(A376="","",IF(P376&lt;=0,"eingelöst",IF(AND(I376&lt;&gt;"",TODAY()&gt;I376),"abgelaufen",IF(P376&lt;C376,"teilweise","offen"))))</f>
        <v/>
      </c>
    </row>
    <row r="377">
      <c r="A377" s="7" t="n"/>
      <c r="B377" s="8" t="n"/>
      <c r="C377" s="9" t="n"/>
      <c r="D377" s="10" t="n"/>
      <c r="E377" s="10" t="n"/>
      <c r="F377" s="10" t="n"/>
      <c r="G377" s="10" t="n"/>
      <c r="H377" s="10" t="n"/>
      <c r="I377" s="11">
        <f>IF(B377="","",DATE(YEAR(B377)+3,12,31))</f>
        <v/>
      </c>
      <c r="J377" s="8" t="n"/>
      <c r="K377" s="9" t="n"/>
      <c r="L377" s="8" t="n"/>
      <c r="M377" s="9" t="n"/>
      <c r="N377" s="8" t="n"/>
      <c r="O377" s="9" t="n"/>
      <c r="P377" s="12">
        <f>IF(C377="","",C377-SUM(K377,M377,O377))</f>
        <v/>
      </c>
      <c r="Q377" s="13">
        <f>IF(A377="","",IF(P377&lt;=0,"eingelöst",IF(AND(I377&lt;&gt;"",TODAY()&gt;I377),"abgelaufen",IF(P377&lt;C377,"teilweise","offen"))))</f>
        <v/>
      </c>
    </row>
    <row r="378">
      <c r="A378" s="7" t="n"/>
      <c r="B378" s="8" t="n"/>
      <c r="C378" s="9" t="n"/>
      <c r="D378" s="10" t="n"/>
      <c r="E378" s="10" t="n"/>
      <c r="F378" s="10" t="n"/>
      <c r="G378" s="10" t="n"/>
      <c r="H378" s="10" t="n"/>
      <c r="I378" s="11">
        <f>IF(B378="","",DATE(YEAR(B378)+3,12,31))</f>
        <v/>
      </c>
      <c r="J378" s="8" t="n"/>
      <c r="K378" s="9" t="n"/>
      <c r="L378" s="8" t="n"/>
      <c r="M378" s="9" t="n"/>
      <c r="N378" s="8" t="n"/>
      <c r="O378" s="9" t="n"/>
      <c r="P378" s="12">
        <f>IF(C378="","",C378-SUM(K378,M378,O378))</f>
        <v/>
      </c>
      <c r="Q378" s="13">
        <f>IF(A378="","",IF(P378&lt;=0,"eingelöst",IF(AND(I378&lt;&gt;"",TODAY()&gt;I378),"abgelaufen",IF(P378&lt;C378,"teilweise","offen"))))</f>
        <v/>
      </c>
    </row>
    <row r="379">
      <c r="A379" s="7" t="n"/>
      <c r="B379" s="8" t="n"/>
      <c r="C379" s="9" t="n"/>
      <c r="D379" s="10" t="n"/>
      <c r="E379" s="10" t="n"/>
      <c r="F379" s="10" t="n"/>
      <c r="G379" s="10" t="n"/>
      <c r="H379" s="10" t="n"/>
      <c r="I379" s="11">
        <f>IF(B379="","",DATE(YEAR(B379)+3,12,31))</f>
        <v/>
      </c>
      <c r="J379" s="8" t="n"/>
      <c r="K379" s="9" t="n"/>
      <c r="L379" s="8" t="n"/>
      <c r="M379" s="9" t="n"/>
      <c r="N379" s="8" t="n"/>
      <c r="O379" s="9" t="n"/>
      <c r="P379" s="12">
        <f>IF(C379="","",C379-SUM(K379,M379,O379))</f>
        <v/>
      </c>
      <c r="Q379" s="13">
        <f>IF(A379="","",IF(P379&lt;=0,"eingelöst",IF(AND(I379&lt;&gt;"",TODAY()&gt;I379),"abgelaufen",IF(P379&lt;C379,"teilweise","offen"))))</f>
        <v/>
      </c>
    </row>
    <row r="380">
      <c r="A380" s="7" t="n"/>
      <c r="B380" s="8" t="n"/>
      <c r="C380" s="9" t="n"/>
      <c r="D380" s="10" t="n"/>
      <c r="E380" s="10" t="n"/>
      <c r="F380" s="10" t="n"/>
      <c r="G380" s="10" t="n"/>
      <c r="H380" s="10" t="n"/>
      <c r="I380" s="11">
        <f>IF(B380="","",DATE(YEAR(B380)+3,12,31))</f>
        <v/>
      </c>
      <c r="J380" s="8" t="n"/>
      <c r="K380" s="9" t="n"/>
      <c r="L380" s="8" t="n"/>
      <c r="M380" s="9" t="n"/>
      <c r="N380" s="8" t="n"/>
      <c r="O380" s="9" t="n"/>
      <c r="P380" s="12">
        <f>IF(C380="","",C380-SUM(K380,M380,O380))</f>
        <v/>
      </c>
      <c r="Q380" s="13">
        <f>IF(A380="","",IF(P380&lt;=0,"eingelöst",IF(AND(I380&lt;&gt;"",TODAY()&gt;I380),"abgelaufen",IF(P380&lt;C380,"teilweise","offen"))))</f>
        <v/>
      </c>
    </row>
    <row r="381">
      <c r="A381" s="7" t="n"/>
      <c r="B381" s="8" t="n"/>
      <c r="C381" s="9" t="n"/>
      <c r="D381" s="10" t="n"/>
      <c r="E381" s="10" t="n"/>
      <c r="F381" s="10" t="n"/>
      <c r="G381" s="10" t="n"/>
      <c r="H381" s="10" t="n"/>
      <c r="I381" s="11">
        <f>IF(B381="","",DATE(YEAR(B381)+3,12,31))</f>
        <v/>
      </c>
      <c r="J381" s="8" t="n"/>
      <c r="K381" s="9" t="n"/>
      <c r="L381" s="8" t="n"/>
      <c r="M381" s="9" t="n"/>
      <c r="N381" s="8" t="n"/>
      <c r="O381" s="9" t="n"/>
      <c r="P381" s="12">
        <f>IF(C381="","",C381-SUM(K381,M381,O381))</f>
        <v/>
      </c>
      <c r="Q381" s="13">
        <f>IF(A381="","",IF(P381&lt;=0,"eingelöst",IF(AND(I381&lt;&gt;"",TODAY()&gt;I381),"abgelaufen",IF(P381&lt;C381,"teilweise","offen"))))</f>
        <v/>
      </c>
    </row>
    <row r="382">
      <c r="A382" s="7" t="n"/>
      <c r="B382" s="8" t="n"/>
      <c r="C382" s="9" t="n"/>
      <c r="D382" s="10" t="n"/>
      <c r="E382" s="10" t="n"/>
      <c r="F382" s="10" t="n"/>
      <c r="G382" s="10" t="n"/>
      <c r="H382" s="10" t="n"/>
      <c r="I382" s="11">
        <f>IF(B382="","",DATE(YEAR(B382)+3,12,31))</f>
        <v/>
      </c>
      <c r="J382" s="8" t="n"/>
      <c r="K382" s="9" t="n"/>
      <c r="L382" s="8" t="n"/>
      <c r="M382" s="9" t="n"/>
      <c r="N382" s="8" t="n"/>
      <c r="O382" s="9" t="n"/>
      <c r="P382" s="12">
        <f>IF(C382="","",C382-SUM(K382,M382,O382))</f>
        <v/>
      </c>
      <c r="Q382" s="13">
        <f>IF(A382="","",IF(P382&lt;=0,"eingelöst",IF(AND(I382&lt;&gt;"",TODAY()&gt;I382),"abgelaufen",IF(P382&lt;C382,"teilweise","offen"))))</f>
        <v/>
      </c>
    </row>
    <row r="383">
      <c r="A383" s="7" t="n"/>
      <c r="B383" s="8" t="n"/>
      <c r="C383" s="9" t="n"/>
      <c r="D383" s="10" t="n"/>
      <c r="E383" s="10" t="n"/>
      <c r="F383" s="10" t="n"/>
      <c r="G383" s="10" t="n"/>
      <c r="H383" s="10" t="n"/>
      <c r="I383" s="11">
        <f>IF(B383="","",DATE(YEAR(B383)+3,12,31))</f>
        <v/>
      </c>
      <c r="J383" s="8" t="n"/>
      <c r="K383" s="9" t="n"/>
      <c r="L383" s="8" t="n"/>
      <c r="M383" s="9" t="n"/>
      <c r="N383" s="8" t="n"/>
      <c r="O383" s="9" t="n"/>
      <c r="P383" s="12">
        <f>IF(C383="","",C383-SUM(K383,M383,O383))</f>
        <v/>
      </c>
      <c r="Q383" s="13">
        <f>IF(A383="","",IF(P383&lt;=0,"eingelöst",IF(AND(I383&lt;&gt;"",TODAY()&gt;I383),"abgelaufen",IF(P383&lt;C383,"teilweise","offen"))))</f>
        <v/>
      </c>
    </row>
    <row r="384">
      <c r="A384" s="7" t="n"/>
      <c r="B384" s="8" t="n"/>
      <c r="C384" s="9" t="n"/>
      <c r="D384" s="10" t="n"/>
      <c r="E384" s="10" t="n"/>
      <c r="F384" s="10" t="n"/>
      <c r="G384" s="10" t="n"/>
      <c r="H384" s="10" t="n"/>
      <c r="I384" s="11">
        <f>IF(B384="","",DATE(YEAR(B384)+3,12,31))</f>
        <v/>
      </c>
      <c r="J384" s="8" t="n"/>
      <c r="K384" s="9" t="n"/>
      <c r="L384" s="8" t="n"/>
      <c r="M384" s="9" t="n"/>
      <c r="N384" s="8" t="n"/>
      <c r="O384" s="9" t="n"/>
      <c r="P384" s="12">
        <f>IF(C384="","",C384-SUM(K384,M384,O384))</f>
        <v/>
      </c>
      <c r="Q384" s="13">
        <f>IF(A384="","",IF(P384&lt;=0,"eingelöst",IF(AND(I384&lt;&gt;"",TODAY()&gt;I384),"abgelaufen",IF(P384&lt;C384,"teilweise","offen"))))</f>
        <v/>
      </c>
    </row>
    <row r="385">
      <c r="A385" s="7" t="n"/>
      <c r="B385" s="8" t="n"/>
      <c r="C385" s="9" t="n"/>
      <c r="D385" s="10" t="n"/>
      <c r="E385" s="10" t="n"/>
      <c r="F385" s="10" t="n"/>
      <c r="G385" s="10" t="n"/>
      <c r="H385" s="10" t="n"/>
      <c r="I385" s="11">
        <f>IF(B385="","",DATE(YEAR(B385)+3,12,31))</f>
        <v/>
      </c>
      <c r="J385" s="8" t="n"/>
      <c r="K385" s="9" t="n"/>
      <c r="L385" s="8" t="n"/>
      <c r="M385" s="9" t="n"/>
      <c r="N385" s="8" t="n"/>
      <c r="O385" s="9" t="n"/>
      <c r="P385" s="12">
        <f>IF(C385="","",C385-SUM(K385,M385,O385))</f>
        <v/>
      </c>
      <c r="Q385" s="13">
        <f>IF(A385="","",IF(P385&lt;=0,"eingelöst",IF(AND(I385&lt;&gt;"",TODAY()&gt;I385),"abgelaufen",IF(P385&lt;C385,"teilweise","offen"))))</f>
        <v/>
      </c>
    </row>
    <row r="386">
      <c r="A386" s="7" t="n"/>
      <c r="B386" s="8" t="n"/>
      <c r="C386" s="9" t="n"/>
      <c r="D386" s="10" t="n"/>
      <c r="E386" s="10" t="n"/>
      <c r="F386" s="10" t="n"/>
      <c r="G386" s="10" t="n"/>
      <c r="H386" s="10" t="n"/>
      <c r="I386" s="11">
        <f>IF(B386="","",DATE(YEAR(B386)+3,12,31))</f>
        <v/>
      </c>
      <c r="J386" s="8" t="n"/>
      <c r="K386" s="9" t="n"/>
      <c r="L386" s="8" t="n"/>
      <c r="M386" s="9" t="n"/>
      <c r="N386" s="8" t="n"/>
      <c r="O386" s="9" t="n"/>
      <c r="P386" s="12">
        <f>IF(C386="","",C386-SUM(K386,M386,O386))</f>
        <v/>
      </c>
      <c r="Q386" s="13">
        <f>IF(A386="","",IF(P386&lt;=0,"eingelöst",IF(AND(I386&lt;&gt;"",TODAY()&gt;I386),"abgelaufen",IF(P386&lt;C386,"teilweise","offen"))))</f>
        <v/>
      </c>
    </row>
    <row r="387">
      <c r="A387" s="7" t="n"/>
      <c r="B387" s="8" t="n"/>
      <c r="C387" s="9" t="n"/>
      <c r="D387" s="10" t="n"/>
      <c r="E387" s="10" t="n"/>
      <c r="F387" s="10" t="n"/>
      <c r="G387" s="10" t="n"/>
      <c r="H387" s="10" t="n"/>
      <c r="I387" s="11">
        <f>IF(B387="","",DATE(YEAR(B387)+3,12,31))</f>
        <v/>
      </c>
      <c r="J387" s="8" t="n"/>
      <c r="K387" s="9" t="n"/>
      <c r="L387" s="8" t="n"/>
      <c r="M387" s="9" t="n"/>
      <c r="N387" s="8" t="n"/>
      <c r="O387" s="9" t="n"/>
      <c r="P387" s="12">
        <f>IF(C387="","",C387-SUM(K387,M387,O387))</f>
        <v/>
      </c>
      <c r="Q387" s="13">
        <f>IF(A387="","",IF(P387&lt;=0,"eingelöst",IF(AND(I387&lt;&gt;"",TODAY()&gt;I387),"abgelaufen",IF(P387&lt;C387,"teilweise","offen"))))</f>
        <v/>
      </c>
    </row>
    <row r="388">
      <c r="A388" s="7" t="n"/>
      <c r="B388" s="8" t="n"/>
      <c r="C388" s="9" t="n"/>
      <c r="D388" s="10" t="n"/>
      <c r="E388" s="10" t="n"/>
      <c r="F388" s="10" t="n"/>
      <c r="G388" s="10" t="n"/>
      <c r="H388" s="10" t="n"/>
      <c r="I388" s="11">
        <f>IF(B388="","",DATE(YEAR(B388)+3,12,31))</f>
        <v/>
      </c>
      <c r="J388" s="8" t="n"/>
      <c r="K388" s="9" t="n"/>
      <c r="L388" s="8" t="n"/>
      <c r="M388" s="9" t="n"/>
      <c r="N388" s="8" t="n"/>
      <c r="O388" s="9" t="n"/>
      <c r="P388" s="12">
        <f>IF(C388="","",C388-SUM(K388,M388,O388))</f>
        <v/>
      </c>
      <c r="Q388" s="13">
        <f>IF(A388="","",IF(P388&lt;=0,"eingelöst",IF(AND(I388&lt;&gt;"",TODAY()&gt;I388),"abgelaufen",IF(P388&lt;C388,"teilweise","offen"))))</f>
        <v/>
      </c>
    </row>
    <row r="389">
      <c r="A389" s="7" t="n"/>
      <c r="B389" s="8" t="n"/>
      <c r="C389" s="9" t="n"/>
      <c r="D389" s="10" t="n"/>
      <c r="E389" s="10" t="n"/>
      <c r="F389" s="10" t="n"/>
      <c r="G389" s="10" t="n"/>
      <c r="H389" s="10" t="n"/>
      <c r="I389" s="11">
        <f>IF(B389="","",DATE(YEAR(B389)+3,12,31))</f>
        <v/>
      </c>
      <c r="J389" s="8" t="n"/>
      <c r="K389" s="9" t="n"/>
      <c r="L389" s="8" t="n"/>
      <c r="M389" s="9" t="n"/>
      <c r="N389" s="8" t="n"/>
      <c r="O389" s="9" t="n"/>
      <c r="P389" s="12">
        <f>IF(C389="","",C389-SUM(K389,M389,O389))</f>
        <v/>
      </c>
      <c r="Q389" s="13">
        <f>IF(A389="","",IF(P389&lt;=0,"eingelöst",IF(AND(I389&lt;&gt;"",TODAY()&gt;I389),"abgelaufen",IF(P389&lt;C389,"teilweise","offen"))))</f>
        <v/>
      </c>
    </row>
    <row r="390">
      <c r="A390" s="7" t="n"/>
      <c r="B390" s="8" t="n"/>
      <c r="C390" s="9" t="n"/>
      <c r="D390" s="10" t="n"/>
      <c r="E390" s="10" t="n"/>
      <c r="F390" s="10" t="n"/>
      <c r="G390" s="10" t="n"/>
      <c r="H390" s="10" t="n"/>
      <c r="I390" s="11">
        <f>IF(B390="","",DATE(YEAR(B390)+3,12,31))</f>
        <v/>
      </c>
      <c r="J390" s="8" t="n"/>
      <c r="K390" s="9" t="n"/>
      <c r="L390" s="8" t="n"/>
      <c r="M390" s="9" t="n"/>
      <c r="N390" s="8" t="n"/>
      <c r="O390" s="9" t="n"/>
      <c r="P390" s="12">
        <f>IF(C390="","",C390-SUM(K390,M390,O390))</f>
        <v/>
      </c>
      <c r="Q390" s="13">
        <f>IF(A390="","",IF(P390&lt;=0,"eingelöst",IF(AND(I390&lt;&gt;"",TODAY()&gt;I390),"abgelaufen",IF(P390&lt;C390,"teilweise","offen"))))</f>
        <v/>
      </c>
    </row>
    <row r="391">
      <c r="A391" s="7" t="n"/>
      <c r="B391" s="8" t="n"/>
      <c r="C391" s="9" t="n"/>
      <c r="D391" s="10" t="n"/>
      <c r="E391" s="10" t="n"/>
      <c r="F391" s="10" t="n"/>
      <c r="G391" s="10" t="n"/>
      <c r="H391" s="10" t="n"/>
      <c r="I391" s="11">
        <f>IF(B391="","",DATE(YEAR(B391)+3,12,31))</f>
        <v/>
      </c>
      <c r="J391" s="8" t="n"/>
      <c r="K391" s="9" t="n"/>
      <c r="L391" s="8" t="n"/>
      <c r="M391" s="9" t="n"/>
      <c r="N391" s="8" t="n"/>
      <c r="O391" s="9" t="n"/>
      <c r="P391" s="12">
        <f>IF(C391="","",C391-SUM(K391,M391,O391))</f>
        <v/>
      </c>
      <c r="Q391" s="13">
        <f>IF(A391="","",IF(P391&lt;=0,"eingelöst",IF(AND(I391&lt;&gt;"",TODAY()&gt;I391),"abgelaufen",IF(P391&lt;C391,"teilweise","offen"))))</f>
        <v/>
      </c>
    </row>
    <row r="392">
      <c r="A392" s="7" t="n"/>
      <c r="B392" s="8" t="n"/>
      <c r="C392" s="9" t="n"/>
      <c r="D392" s="10" t="n"/>
      <c r="E392" s="10" t="n"/>
      <c r="F392" s="10" t="n"/>
      <c r="G392" s="10" t="n"/>
      <c r="H392" s="10" t="n"/>
      <c r="I392" s="11">
        <f>IF(B392="","",DATE(YEAR(B392)+3,12,31))</f>
        <v/>
      </c>
      <c r="J392" s="8" t="n"/>
      <c r="K392" s="9" t="n"/>
      <c r="L392" s="8" t="n"/>
      <c r="M392" s="9" t="n"/>
      <c r="N392" s="8" t="n"/>
      <c r="O392" s="9" t="n"/>
      <c r="P392" s="12">
        <f>IF(C392="","",C392-SUM(K392,M392,O392))</f>
        <v/>
      </c>
      <c r="Q392" s="13">
        <f>IF(A392="","",IF(P392&lt;=0,"eingelöst",IF(AND(I392&lt;&gt;"",TODAY()&gt;I392),"abgelaufen",IF(P392&lt;C392,"teilweise","offen"))))</f>
        <v/>
      </c>
    </row>
    <row r="393">
      <c r="A393" s="7" t="n"/>
      <c r="B393" s="8" t="n"/>
      <c r="C393" s="9" t="n"/>
      <c r="D393" s="10" t="n"/>
      <c r="E393" s="10" t="n"/>
      <c r="F393" s="10" t="n"/>
      <c r="G393" s="10" t="n"/>
      <c r="H393" s="10" t="n"/>
      <c r="I393" s="11">
        <f>IF(B393="","",DATE(YEAR(B393)+3,12,31))</f>
        <v/>
      </c>
      <c r="J393" s="8" t="n"/>
      <c r="K393" s="9" t="n"/>
      <c r="L393" s="8" t="n"/>
      <c r="M393" s="9" t="n"/>
      <c r="N393" s="8" t="n"/>
      <c r="O393" s="9" t="n"/>
      <c r="P393" s="12">
        <f>IF(C393="","",C393-SUM(K393,M393,O393))</f>
        <v/>
      </c>
      <c r="Q393" s="13">
        <f>IF(A393="","",IF(P393&lt;=0,"eingelöst",IF(AND(I393&lt;&gt;"",TODAY()&gt;I393),"abgelaufen",IF(P393&lt;C393,"teilweise","offen"))))</f>
        <v/>
      </c>
    </row>
    <row r="394">
      <c r="A394" s="7" t="n"/>
      <c r="B394" s="8" t="n"/>
      <c r="C394" s="9" t="n"/>
      <c r="D394" s="10" t="n"/>
      <c r="E394" s="10" t="n"/>
      <c r="F394" s="10" t="n"/>
      <c r="G394" s="10" t="n"/>
      <c r="H394" s="10" t="n"/>
      <c r="I394" s="11">
        <f>IF(B394="","",DATE(YEAR(B394)+3,12,31))</f>
        <v/>
      </c>
      <c r="J394" s="8" t="n"/>
      <c r="K394" s="9" t="n"/>
      <c r="L394" s="8" t="n"/>
      <c r="M394" s="9" t="n"/>
      <c r="N394" s="8" t="n"/>
      <c r="O394" s="9" t="n"/>
      <c r="P394" s="12">
        <f>IF(C394="","",C394-SUM(K394,M394,O394))</f>
        <v/>
      </c>
      <c r="Q394" s="13">
        <f>IF(A394="","",IF(P394&lt;=0,"eingelöst",IF(AND(I394&lt;&gt;"",TODAY()&gt;I394),"abgelaufen",IF(P394&lt;C394,"teilweise","offen"))))</f>
        <v/>
      </c>
    </row>
    <row r="395">
      <c r="A395" s="7" t="n"/>
      <c r="B395" s="8" t="n"/>
      <c r="C395" s="9" t="n"/>
      <c r="D395" s="10" t="n"/>
      <c r="E395" s="10" t="n"/>
      <c r="F395" s="10" t="n"/>
      <c r="G395" s="10" t="n"/>
      <c r="H395" s="10" t="n"/>
      <c r="I395" s="11">
        <f>IF(B395="","",DATE(YEAR(B395)+3,12,31))</f>
        <v/>
      </c>
      <c r="J395" s="8" t="n"/>
      <c r="K395" s="9" t="n"/>
      <c r="L395" s="8" t="n"/>
      <c r="M395" s="9" t="n"/>
      <c r="N395" s="8" t="n"/>
      <c r="O395" s="9" t="n"/>
      <c r="P395" s="12">
        <f>IF(C395="","",C395-SUM(K395,M395,O395))</f>
        <v/>
      </c>
      <c r="Q395" s="13">
        <f>IF(A395="","",IF(P395&lt;=0,"eingelöst",IF(AND(I395&lt;&gt;"",TODAY()&gt;I395),"abgelaufen",IF(P395&lt;C395,"teilweise","offen"))))</f>
        <v/>
      </c>
    </row>
    <row r="396">
      <c r="A396" s="7" t="n"/>
      <c r="B396" s="8" t="n"/>
      <c r="C396" s="9" t="n"/>
      <c r="D396" s="10" t="n"/>
      <c r="E396" s="10" t="n"/>
      <c r="F396" s="10" t="n"/>
      <c r="G396" s="10" t="n"/>
      <c r="H396" s="10" t="n"/>
      <c r="I396" s="11">
        <f>IF(B396="","",DATE(YEAR(B396)+3,12,31))</f>
        <v/>
      </c>
      <c r="J396" s="8" t="n"/>
      <c r="K396" s="9" t="n"/>
      <c r="L396" s="8" t="n"/>
      <c r="M396" s="9" t="n"/>
      <c r="N396" s="8" t="n"/>
      <c r="O396" s="9" t="n"/>
      <c r="P396" s="12">
        <f>IF(C396="","",C396-SUM(K396,M396,O396))</f>
        <v/>
      </c>
      <c r="Q396" s="13">
        <f>IF(A396="","",IF(P396&lt;=0,"eingelöst",IF(AND(I396&lt;&gt;"",TODAY()&gt;I396),"abgelaufen",IF(P396&lt;C396,"teilweise","offen"))))</f>
        <v/>
      </c>
    </row>
    <row r="397">
      <c r="A397" s="7" t="n"/>
      <c r="B397" s="8" t="n"/>
      <c r="C397" s="9" t="n"/>
      <c r="D397" s="10" t="n"/>
      <c r="E397" s="10" t="n"/>
      <c r="F397" s="10" t="n"/>
      <c r="G397" s="10" t="n"/>
      <c r="H397" s="10" t="n"/>
      <c r="I397" s="11">
        <f>IF(B397="","",DATE(YEAR(B397)+3,12,31))</f>
        <v/>
      </c>
      <c r="J397" s="8" t="n"/>
      <c r="K397" s="9" t="n"/>
      <c r="L397" s="8" t="n"/>
      <c r="M397" s="9" t="n"/>
      <c r="N397" s="8" t="n"/>
      <c r="O397" s="9" t="n"/>
      <c r="P397" s="12">
        <f>IF(C397="","",C397-SUM(K397,M397,O397))</f>
        <v/>
      </c>
      <c r="Q397" s="13">
        <f>IF(A397="","",IF(P397&lt;=0,"eingelöst",IF(AND(I397&lt;&gt;"",TODAY()&gt;I397),"abgelaufen",IF(P397&lt;C397,"teilweise","offen"))))</f>
        <v/>
      </c>
    </row>
    <row r="398">
      <c r="A398" s="7" t="n"/>
      <c r="B398" s="8" t="n"/>
      <c r="C398" s="9" t="n"/>
      <c r="D398" s="10" t="n"/>
      <c r="E398" s="10" t="n"/>
      <c r="F398" s="10" t="n"/>
      <c r="G398" s="10" t="n"/>
      <c r="H398" s="10" t="n"/>
      <c r="I398" s="11">
        <f>IF(B398="","",DATE(YEAR(B398)+3,12,31))</f>
        <v/>
      </c>
      <c r="J398" s="8" t="n"/>
      <c r="K398" s="9" t="n"/>
      <c r="L398" s="8" t="n"/>
      <c r="M398" s="9" t="n"/>
      <c r="N398" s="8" t="n"/>
      <c r="O398" s="9" t="n"/>
      <c r="P398" s="12">
        <f>IF(C398="","",C398-SUM(K398,M398,O398))</f>
        <v/>
      </c>
      <c r="Q398" s="13">
        <f>IF(A398="","",IF(P398&lt;=0,"eingelöst",IF(AND(I398&lt;&gt;"",TODAY()&gt;I398),"abgelaufen",IF(P398&lt;C398,"teilweise","offen"))))</f>
        <v/>
      </c>
    </row>
    <row r="399">
      <c r="A399" s="7" t="n"/>
      <c r="B399" s="8" t="n"/>
      <c r="C399" s="9" t="n"/>
      <c r="D399" s="10" t="n"/>
      <c r="E399" s="10" t="n"/>
      <c r="F399" s="10" t="n"/>
      <c r="G399" s="10" t="n"/>
      <c r="H399" s="10" t="n"/>
      <c r="I399" s="11">
        <f>IF(B399="","",DATE(YEAR(B399)+3,12,31))</f>
        <v/>
      </c>
      <c r="J399" s="8" t="n"/>
      <c r="K399" s="9" t="n"/>
      <c r="L399" s="8" t="n"/>
      <c r="M399" s="9" t="n"/>
      <c r="N399" s="8" t="n"/>
      <c r="O399" s="9" t="n"/>
      <c r="P399" s="12">
        <f>IF(C399="","",C399-SUM(K399,M399,O399))</f>
        <v/>
      </c>
      <c r="Q399" s="13">
        <f>IF(A399="","",IF(P399&lt;=0,"eingelöst",IF(AND(I399&lt;&gt;"",TODAY()&gt;I399),"abgelaufen",IF(P399&lt;C399,"teilweise","offen"))))</f>
        <v/>
      </c>
    </row>
    <row r="400">
      <c r="A400" s="7" t="n"/>
      <c r="B400" s="8" t="n"/>
      <c r="C400" s="9" t="n"/>
      <c r="D400" s="10" t="n"/>
      <c r="E400" s="10" t="n"/>
      <c r="F400" s="10" t="n"/>
      <c r="G400" s="10" t="n"/>
      <c r="H400" s="10" t="n"/>
      <c r="I400" s="11">
        <f>IF(B400="","",DATE(YEAR(B400)+3,12,31))</f>
        <v/>
      </c>
      <c r="J400" s="8" t="n"/>
      <c r="K400" s="9" t="n"/>
      <c r="L400" s="8" t="n"/>
      <c r="M400" s="9" t="n"/>
      <c r="N400" s="8" t="n"/>
      <c r="O400" s="9" t="n"/>
      <c r="P400" s="12">
        <f>IF(C400="","",C400-SUM(K400,M400,O400))</f>
        <v/>
      </c>
      <c r="Q400" s="13">
        <f>IF(A400="","",IF(P400&lt;=0,"eingelöst",IF(AND(I400&lt;&gt;"",TODAY()&gt;I400),"abgelaufen",IF(P400&lt;C400,"teilweise","offen"))))</f>
        <v/>
      </c>
    </row>
    <row r="401">
      <c r="A401" s="7" t="n"/>
      <c r="B401" s="8" t="n"/>
      <c r="C401" s="9" t="n"/>
      <c r="D401" s="10" t="n"/>
      <c r="E401" s="10" t="n"/>
      <c r="F401" s="10" t="n"/>
      <c r="G401" s="10" t="n"/>
      <c r="H401" s="10" t="n"/>
      <c r="I401" s="11">
        <f>IF(B401="","",DATE(YEAR(B401)+3,12,31))</f>
        <v/>
      </c>
      <c r="J401" s="8" t="n"/>
      <c r="K401" s="9" t="n"/>
      <c r="L401" s="8" t="n"/>
      <c r="M401" s="9" t="n"/>
      <c r="N401" s="8" t="n"/>
      <c r="O401" s="9" t="n"/>
      <c r="P401" s="12">
        <f>IF(C401="","",C401-SUM(K401,M401,O401))</f>
        <v/>
      </c>
      <c r="Q401" s="13">
        <f>IF(A401="","",IF(P401&lt;=0,"eingelöst",IF(AND(I401&lt;&gt;"",TODAY()&gt;I401),"abgelaufen",IF(P401&lt;C401,"teilweise","offen"))))</f>
        <v/>
      </c>
    </row>
    <row r="402">
      <c r="A402" s="7" t="n"/>
      <c r="B402" s="8" t="n"/>
      <c r="C402" s="9" t="n"/>
      <c r="D402" s="10" t="n"/>
      <c r="E402" s="10" t="n"/>
      <c r="F402" s="10" t="n"/>
      <c r="G402" s="10" t="n"/>
      <c r="H402" s="10" t="n"/>
      <c r="I402" s="11">
        <f>IF(B402="","",DATE(YEAR(B402)+3,12,31))</f>
        <v/>
      </c>
      <c r="J402" s="8" t="n"/>
      <c r="K402" s="9" t="n"/>
      <c r="L402" s="8" t="n"/>
      <c r="M402" s="9" t="n"/>
      <c r="N402" s="8" t="n"/>
      <c r="O402" s="9" t="n"/>
      <c r="P402" s="12">
        <f>IF(C402="","",C402-SUM(K402,M402,O402))</f>
        <v/>
      </c>
      <c r="Q402" s="13">
        <f>IF(A402="","",IF(P402&lt;=0,"eingelöst",IF(AND(I402&lt;&gt;"",TODAY()&gt;I402),"abgelaufen",IF(P402&lt;C402,"teilweise","offen"))))</f>
        <v/>
      </c>
    </row>
    <row r="403">
      <c r="A403" s="7" t="n"/>
      <c r="B403" s="8" t="n"/>
      <c r="C403" s="9" t="n"/>
      <c r="D403" s="10" t="n"/>
      <c r="E403" s="10" t="n"/>
      <c r="F403" s="10" t="n"/>
      <c r="G403" s="10" t="n"/>
      <c r="H403" s="10" t="n"/>
      <c r="I403" s="11">
        <f>IF(B403="","",DATE(YEAR(B403)+3,12,31))</f>
        <v/>
      </c>
      <c r="J403" s="8" t="n"/>
      <c r="K403" s="9" t="n"/>
      <c r="L403" s="8" t="n"/>
      <c r="M403" s="9" t="n"/>
      <c r="N403" s="8" t="n"/>
      <c r="O403" s="9" t="n"/>
      <c r="P403" s="12">
        <f>IF(C403="","",C403-SUM(K403,M403,O403))</f>
        <v/>
      </c>
      <c r="Q403" s="13">
        <f>IF(A403="","",IF(P403&lt;=0,"eingelöst",IF(AND(I403&lt;&gt;"",TODAY()&gt;I403),"abgelaufen",IF(P403&lt;C403,"teilweise","offen"))))</f>
        <v/>
      </c>
    </row>
    <row r="404">
      <c r="A404" s="7" t="n"/>
      <c r="B404" s="8" t="n"/>
      <c r="C404" s="9" t="n"/>
      <c r="D404" s="10" t="n"/>
      <c r="E404" s="10" t="n"/>
      <c r="F404" s="10" t="n"/>
      <c r="G404" s="10" t="n"/>
      <c r="H404" s="10" t="n"/>
      <c r="I404" s="11">
        <f>IF(B404="","",DATE(YEAR(B404)+3,12,31))</f>
        <v/>
      </c>
      <c r="J404" s="8" t="n"/>
      <c r="K404" s="9" t="n"/>
      <c r="L404" s="8" t="n"/>
      <c r="M404" s="9" t="n"/>
      <c r="N404" s="8" t="n"/>
      <c r="O404" s="9" t="n"/>
      <c r="P404" s="12">
        <f>IF(C404="","",C404-SUM(K404,M404,O404))</f>
        <v/>
      </c>
      <c r="Q404" s="13">
        <f>IF(A404="","",IF(P404&lt;=0,"eingelöst",IF(AND(I404&lt;&gt;"",TODAY()&gt;I404),"abgelaufen",IF(P404&lt;C404,"teilweise","offen"))))</f>
        <v/>
      </c>
    </row>
    <row r="405">
      <c r="A405" s="7" t="n"/>
      <c r="B405" s="8" t="n"/>
      <c r="C405" s="9" t="n"/>
      <c r="D405" s="10" t="n"/>
      <c r="E405" s="10" t="n"/>
      <c r="F405" s="10" t="n"/>
      <c r="G405" s="10" t="n"/>
      <c r="H405" s="10" t="n"/>
      <c r="I405" s="11">
        <f>IF(B405="","",DATE(YEAR(B405)+3,12,31))</f>
        <v/>
      </c>
      <c r="J405" s="8" t="n"/>
      <c r="K405" s="9" t="n"/>
      <c r="L405" s="8" t="n"/>
      <c r="M405" s="9" t="n"/>
      <c r="N405" s="8" t="n"/>
      <c r="O405" s="9" t="n"/>
      <c r="P405" s="12">
        <f>IF(C405="","",C405-SUM(K405,M405,O405))</f>
        <v/>
      </c>
      <c r="Q405" s="13">
        <f>IF(A405="","",IF(P405&lt;=0,"eingelöst",IF(AND(I405&lt;&gt;"",TODAY()&gt;I405),"abgelaufen",IF(P405&lt;C405,"teilweise","offen"))))</f>
        <v/>
      </c>
    </row>
    <row r="406">
      <c r="A406" s="7" t="n"/>
      <c r="B406" s="8" t="n"/>
      <c r="C406" s="9" t="n"/>
      <c r="D406" s="10" t="n"/>
      <c r="E406" s="10" t="n"/>
      <c r="F406" s="10" t="n"/>
      <c r="G406" s="10" t="n"/>
      <c r="H406" s="10" t="n"/>
      <c r="I406" s="11">
        <f>IF(B406="","",DATE(YEAR(B406)+3,12,31))</f>
        <v/>
      </c>
      <c r="J406" s="8" t="n"/>
      <c r="K406" s="9" t="n"/>
      <c r="L406" s="8" t="n"/>
      <c r="M406" s="9" t="n"/>
      <c r="N406" s="8" t="n"/>
      <c r="O406" s="9" t="n"/>
      <c r="P406" s="12">
        <f>IF(C406="","",C406-SUM(K406,M406,O406))</f>
        <v/>
      </c>
      <c r="Q406" s="13">
        <f>IF(A406="","",IF(P406&lt;=0,"eingelöst",IF(AND(I406&lt;&gt;"",TODAY()&gt;I406),"abgelaufen",IF(P406&lt;C406,"teilweise","offen"))))</f>
        <v/>
      </c>
    </row>
    <row r="407">
      <c r="A407" s="7" t="n"/>
      <c r="B407" s="8" t="n"/>
      <c r="C407" s="9" t="n"/>
      <c r="D407" s="10" t="n"/>
      <c r="E407" s="10" t="n"/>
      <c r="F407" s="10" t="n"/>
      <c r="G407" s="10" t="n"/>
      <c r="H407" s="10" t="n"/>
      <c r="I407" s="11">
        <f>IF(B407="","",DATE(YEAR(B407)+3,12,31))</f>
        <v/>
      </c>
      <c r="J407" s="8" t="n"/>
      <c r="K407" s="9" t="n"/>
      <c r="L407" s="8" t="n"/>
      <c r="M407" s="9" t="n"/>
      <c r="N407" s="8" t="n"/>
      <c r="O407" s="9" t="n"/>
      <c r="P407" s="12">
        <f>IF(C407="","",C407-SUM(K407,M407,O407))</f>
        <v/>
      </c>
      <c r="Q407" s="13">
        <f>IF(A407="","",IF(P407&lt;=0,"eingelöst",IF(AND(I407&lt;&gt;"",TODAY()&gt;I407),"abgelaufen",IF(P407&lt;C407,"teilweise","offen"))))</f>
        <v/>
      </c>
    </row>
    <row r="408">
      <c r="A408" s="7" t="n"/>
      <c r="B408" s="8" t="n"/>
      <c r="C408" s="9" t="n"/>
      <c r="D408" s="10" t="n"/>
      <c r="E408" s="10" t="n"/>
      <c r="F408" s="10" t="n"/>
      <c r="G408" s="10" t="n"/>
      <c r="H408" s="10" t="n"/>
      <c r="I408" s="11">
        <f>IF(B408="","",DATE(YEAR(B408)+3,12,31))</f>
        <v/>
      </c>
      <c r="J408" s="8" t="n"/>
      <c r="K408" s="9" t="n"/>
      <c r="L408" s="8" t="n"/>
      <c r="M408" s="9" t="n"/>
      <c r="N408" s="8" t="n"/>
      <c r="O408" s="9" t="n"/>
      <c r="P408" s="12">
        <f>IF(C408="","",C408-SUM(K408,M408,O408))</f>
        <v/>
      </c>
      <c r="Q408" s="13">
        <f>IF(A408="","",IF(P408&lt;=0,"eingelöst",IF(AND(I408&lt;&gt;"",TODAY()&gt;I408),"abgelaufen",IF(P408&lt;C408,"teilweise","offen"))))</f>
        <v/>
      </c>
    </row>
    <row r="409">
      <c r="A409" s="7" t="n"/>
      <c r="B409" s="8" t="n"/>
      <c r="C409" s="9" t="n"/>
      <c r="D409" s="10" t="n"/>
      <c r="E409" s="10" t="n"/>
      <c r="F409" s="10" t="n"/>
      <c r="G409" s="10" t="n"/>
      <c r="H409" s="10" t="n"/>
      <c r="I409" s="11">
        <f>IF(B409="","",DATE(YEAR(B409)+3,12,31))</f>
        <v/>
      </c>
      <c r="J409" s="8" t="n"/>
      <c r="K409" s="9" t="n"/>
      <c r="L409" s="8" t="n"/>
      <c r="M409" s="9" t="n"/>
      <c r="N409" s="8" t="n"/>
      <c r="O409" s="9" t="n"/>
      <c r="P409" s="12">
        <f>IF(C409="","",C409-SUM(K409,M409,O409))</f>
        <v/>
      </c>
      <c r="Q409" s="13">
        <f>IF(A409="","",IF(P409&lt;=0,"eingelöst",IF(AND(I409&lt;&gt;"",TODAY()&gt;I409),"abgelaufen",IF(P409&lt;C409,"teilweise","offen"))))</f>
        <v/>
      </c>
    </row>
    <row r="410">
      <c r="A410" s="7" t="n"/>
      <c r="B410" s="8" t="n"/>
      <c r="C410" s="9" t="n"/>
      <c r="D410" s="10" t="n"/>
      <c r="E410" s="10" t="n"/>
      <c r="F410" s="10" t="n"/>
      <c r="G410" s="10" t="n"/>
      <c r="H410" s="10" t="n"/>
      <c r="I410" s="11">
        <f>IF(B410="","",DATE(YEAR(B410)+3,12,31))</f>
        <v/>
      </c>
      <c r="J410" s="8" t="n"/>
      <c r="K410" s="9" t="n"/>
      <c r="L410" s="8" t="n"/>
      <c r="M410" s="9" t="n"/>
      <c r="N410" s="8" t="n"/>
      <c r="O410" s="9" t="n"/>
      <c r="P410" s="12">
        <f>IF(C410="","",C410-SUM(K410,M410,O410))</f>
        <v/>
      </c>
      <c r="Q410" s="13">
        <f>IF(A410="","",IF(P410&lt;=0,"eingelöst",IF(AND(I410&lt;&gt;"",TODAY()&gt;I410),"abgelaufen",IF(P410&lt;C410,"teilweise","offen"))))</f>
        <v/>
      </c>
    </row>
    <row r="411">
      <c r="A411" s="7" t="n"/>
      <c r="B411" s="8" t="n"/>
      <c r="C411" s="9" t="n"/>
      <c r="D411" s="10" t="n"/>
      <c r="E411" s="10" t="n"/>
      <c r="F411" s="10" t="n"/>
      <c r="G411" s="10" t="n"/>
      <c r="H411" s="10" t="n"/>
      <c r="I411" s="11">
        <f>IF(B411="","",DATE(YEAR(B411)+3,12,31))</f>
        <v/>
      </c>
      <c r="J411" s="8" t="n"/>
      <c r="K411" s="9" t="n"/>
      <c r="L411" s="8" t="n"/>
      <c r="M411" s="9" t="n"/>
      <c r="N411" s="8" t="n"/>
      <c r="O411" s="9" t="n"/>
      <c r="P411" s="12">
        <f>IF(C411="","",C411-SUM(K411,M411,O411))</f>
        <v/>
      </c>
      <c r="Q411" s="13">
        <f>IF(A411="","",IF(P411&lt;=0,"eingelöst",IF(AND(I411&lt;&gt;"",TODAY()&gt;I411),"abgelaufen",IF(P411&lt;C411,"teilweise","offen"))))</f>
        <v/>
      </c>
    </row>
    <row r="412">
      <c r="A412" s="7" t="n"/>
      <c r="B412" s="8" t="n"/>
      <c r="C412" s="9" t="n"/>
      <c r="D412" s="10" t="n"/>
      <c r="E412" s="10" t="n"/>
      <c r="F412" s="10" t="n"/>
      <c r="G412" s="10" t="n"/>
      <c r="H412" s="10" t="n"/>
      <c r="I412" s="11">
        <f>IF(B412="","",DATE(YEAR(B412)+3,12,31))</f>
        <v/>
      </c>
      <c r="J412" s="8" t="n"/>
      <c r="K412" s="9" t="n"/>
      <c r="L412" s="8" t="n"/>
      <c r="M412" s="9" t="n"/>
      <c r="N412" s="8" t="n"/>
      <c r="O412" s="9" t="n"/>
      <c r="P412" s="12">
        <f>IF(C412="","",C412-SUM(K412,M412,O412))</f>
        <v/>
      </c>
      <c r="Q412" s="13">
        <f>IF(A412="","",IF(P412&lt;=0,"eingelöst",IF(AND(I412&lt;&gt;"",TODAY()&gt;I412),"abgelaufen",IF(P412&lt;C412,"teilweise","offen"))))</f>
        <v/>
      </c>
    </row>
    <row r="413">
      <c r="A413" s="7" t="n"/>
      <c r="B413" s="8" t="n"/>
      <c r="C413" s="9" t="n"/>
      <c r="D413" s="10" t="n"/>
      <c r="E413" s="10" t="n"/>
      <c r="F413" s="10" t="n"/>
      <c r="G413" s="10" t="n"/>
      <c r="H413" s="10" t="n"/>
      <c r="I413" s="11">
        <f>IF(B413="","",DATE(YEAR(B413)+3,12,31))</f>
        <v/>
      </c>
      <c r="J413" s="8" t="n"/>
      <c r="K413" s="9" t="n"/>
      <c r="L413" s="8" t="n"/>
      <c r="M413" s="9" t="n"/>
      <c r="N413" s="8" t="n"/>
      <c r="O413" s="9" t="n"/>
      <c r="P413" s="12">
        <f>IF(C413="","",C413-SUM(K413,M413,O413))</f>
        <v/>
      </c>
      <c r="Q413" s="13">
        <f>IF(A413="","",IF(P413&lt;=0,"eingelöst",IF(AND(I413&lt;&gt;"",TODAY()&gt;I413),"abgelaufen",IF(P413&lt;C413,"teilweise","offen"))))</f>
        <v/>
      </c>
    </row>
    <row r="414">
      <c r="A414" s="7" t="n"/>
      <c r="B414" s="8" t="n"/>
      <c r="C414" s="9" t="n"/>
      <c r="D414" s="10" t="n"/>
      <c r="E414" s="10" t="n"/>
      <c r="F414" s="10" t="n"/>
      <c r="G414" s="10" t="n"/>
      <c r="H414" s="10" t="n"/>
      <c r="I414" s="11">
        <f>IF(B414="","",DATE(YEAR(B414)+3,12,31))</f>
        <v/>
      </c>
      <c r="J414" s="8" t="n"/>
      <c r="K414" s="9" t="n"/>
      <c r="L414" s="8" t="n"/>
      <c r="M414" s="9" t="n"/>
      <c r="N414" s="8" t="n"/>
      <c r="O414" s="9" t="n"/>
      <c r="P414" s="12">
        <f>IF(C414="","",C414-SUM(K414,M414,O414))</f>
        <v/>
      </c>
      <c r="Q414" s="13">
        <f>IF(A414="","",IF(P414&lt;=0,"eingelöst",IF(AND(I414&lt;&gt;"",TODAY()&gt;I414),"abgelaufen",IF(P414&lt;C414,"teilweise","offen"))))</f>
        <v/>
      </c>
    </row>
    <row r="415">
      <c r="A415" s="7" t="n"/>
      <c r="B415" s="8" t="n"/>
      <c r="C415" s="9" t="n"/>
      <c r="D415" s="10" t="n"/>
      <c r="E415" s="10" t="n"/>
      <c r="F415" s="10" t="n"/>
      <c r="G415" s="10" t="n"/>
      <c r="H415" s="10" t="n"/>
      <c r="I415" s="11">
        <f>IF(B415="","",DATE(YEAR(B415)+3,12,31))</f>
        <v/>
      </c>
      <c r="J415" s="8" t="n"/>
      <c r="K415" s="9" t="n"/>
      <c r="L415" s="8" t="n"/>
      <c r="M415" s="9" t="n"/>
      <c r="N415" s="8" t="n"/>
      <c r="O415" s="9" t="n"/>
      <c r="P415" s="12">
        <f>IF(C415="","",C415-SUM(K415,M415,O415))</f>
        <v/>
      </c>
      <c r="Q415" s="13">
        <f>IF(A415="","",IF(P415&lt;=0,"eingelöst",IF(AND(I415&lt;&gt;"",TODAY()&gt;I415),"abgelaufen",IF(P415&lt;C415,"teilweise","offen"))))</f>
        <v/>
      </c>
    </row>
    <row r="416">
      <c r="A416" s="7" t="n"/>
      <c r="B416" s="8" t="n"/>
      <c r="C416" s="9" t="n"/>
      <c r="D416" s="10" t="n"/>
      <c r="E416" s="10" t="n"/>
      <c r="F416" s="10" t="n"/>
      <c r="G416" s="10" t="n"/>
      <c r="H416" s="10" t="n"/>
      <c r="I416" s="11">
        <f>IF(B416="","",DATE(YEAR(B416)+3,12,31))</f>
        <v/>
      </c>
      <c r="J416" s="8" t="n"/>
      <c r="K416" s="9" t="n"/>
      <c r="L416" s="8" t="n"/>
      <c r="M416" s="9" t="n"/>
      <c r="N416" s="8" t="n"/>
      <c r="O416" s="9" t="n"/>
      <c r="P416" s="12">
        <f>IF(C416="","",C416-SUM(K416,M416,O416))</f>
        <v/>
      </c>
      <c r="Q416" s="13">
        <f>IF(A416="","",IF(P416&lt;=0,"eingelöst",IF(AND(I416&lt;&gt;"",TODAY()&gt;I416),"abgelaufen",IF(P416&lt;C416,"teilweise","offen"))))</f>
        <v/>
      </c>
    </row>
    <row r="417">
      <c r="A417" s="7" t="n"/>
      <c r="B417" s="8" t="n"/>
      <c r="C417" s="9" t="n"/>
      <c r="D417" s="10" t="n"/>
      <c r="E417" s="10" t="n"/>
      <c r="F417" s="10" t="n"/>
      <c r="G417" s="10" t="n"/>
      <c r="H417" s="10" t="n"/>
      <c r="I417" s="11">
        <f>IF(B417="","",DATE(YEAR(B417)+3,12,31))</f>
        <v/>
      </c>
      <c r="J417" s="8" t="n"/>
      <c r="K417" s="9" t="n"/>
      <c r="L417" s="8" t="n"/>
      <c r="M417" s="9" t="n"/>
      <c r="N417" s="8" t="n"/>
      <c r="O417" s="9" t="n"/>
      <c r="P417" s="12">
        <f>IF(C417="","",C417-SUM(K417,M417,O417))</f>
        <v/>
      </c>
      <c r="Q417" s="13">
        <f>IF(A417="","",IF(P417&lt;=0,"eingelöst",IF(AND(I417&lt;&gt;"",TODAY()&gt;I417),"abgelaufen",IF(P417&lt;C417,"teilweise","offen"))))</f>
        <v/>
      </c>
    </row>
    <row r="418">
      <c r="A418" s="7" t="n"/>
      <c r="B418" s="8" t="n"/>
      <c r="C418" s="9" t="n"/>
      <c r="D418" s="10" t="n"/>
      <c r="E418" s="10" t="n"/>
      <c r="F418" s="10" t="n"/>
      <c r="G418" s="10" t="n"/>
      <c r="H418" s="10" t="n"/>
      <c r="I418" s="11">
        <f>IF(B418="","",DATE(YEAR(B418)+3,12,31))</f>
        <v/>
      </c>
      <c r="J418" s="8" t="n"/>
      <c r="K418" s="9" t="n"/>
      <c r="L418" s="8" t="n"/>
      <c r="M418" s="9" t="n"/>
      <c r="N418" s="8" t="n"/>
      <c r="O418" s="9" t="n"/>
      <c r="P418" s="12">
        <f>IF(C418="","",C418-SUM(K418,M418,O418))</f>
        <v/>
      </c>
      <c r="Q418" s="13">
        <f>IF(A418="","",IF(P418&lt;=0,"eingelöst",IF(AND(I418&lt;&gt;"",TODAY()&gt;I418),"abgelaufen",IF(P418&lt;C418,"teilweise","offen"))))</f>
        <v/>
      </c>
    </row>
    <row r="419">
      <c r="A419" s="7" t="n"/>
      <c r="B419" s="8" t="n"/>
      <c r="C419" s="9" t="n"/>
      <c r="D419" s="10" t="n"/>
      <c r="E419" s="10" t="n"/>
      <c r="F419" s="10" t="n"/>
      <c r="G419" s="10" t="n"/>
      <c r="H419" s="10" t="n"/>
      <c r="I419" s="11">
        <f>IF(B419="","",DATE(YEAR(B419)+3,12,31))</f>
        <v/>
      </c>
      <c r="J419" s="8" t="n"/>
      <c r="K419" s="9" t="n"/>
      <c r="L419" s="8" t="n"/>
      <c r="M419" s="9" t="n"/>
      <c r="N419" s="8" t="n"/>
      <c r="O419" s="9" t="n"/>
      <c r="P419" s="12">
        <f>IF(C419="","",C419-SUM(K419,M419,O419))</f>
        <v/>
      </c>
      <c r="Q419" s="13">
        <f>IF(A419="","",IF(P419&lt;=0,"eingelöst",IF(AND(I419&lt;&gt;"",TODAY()&gt;I419),"abgelaufen",IF(P419&lt;C419,"teilweise","offen"))))</f>
        <v/>
      </c>
    </row>
    <row r="420">
      <c r="A420" s="7" t="n"/>
      <c r="B420" s="8" t="n"/>
      <c r="C420" s="9" t="n"/>
      <c r="D420" s="10" t="n"/>
      <c r="E420" s="10" t="n"/>
      <c r="F420" s="10" t="n"/>
      <c r="G420" s="10" t="n"/>
      <c r="H420" s="10" t="n"/>
      <c r="I420" s="11">
        <f>IF(B420="","",DATE(YEAR(B420)+3,12,31))</f>
        <v/>
      </c>
      <c r="J420" s="8" t="n"/>
      <c r="K420" s="9" t="n"/>
      <c r="L420" s="8" t="n"/>
      <c r="M420" s="9" t="n"/>
      <c r="N420" s="8" t="n"/>
      <c r="O420" s="9" t="n"/>
      <c r="P420" s="12">
        <f>IF(C420="","",C420-SUM(K420,M420,O420))</f>
        <v/>
      </c>
      <c r="Q420" s="13">
        <f>IF(A420="","",IF(P420&lt;=0,"eingelöst",IF(AND(I420&lt;&gt;"",TODAY()&gt;I420),"abgelaufen",IF(P420&lt;C420,"teilweise","offen"))))</f>
        <v/>
      </c>
    </row>
    <row r="421">
      <c r="A421" s="7" t="n"/>
      <c r="B421" s="8" t="n"/>
      <c r="C421" s="9" t="n"/>
      <c r="D421" s="10" t="n"/>
      <c r="E421" s="10" t="n"/>
      <c r="F421" s="10" t="n"/>
      <c r="G421" s="10" t="n"/>
      <c r="H421" s="10" t="n"/>
      <c r="I421" s="11">
        <f>IF(B421="","",DATE(YEAR(B421)+3,12,31))</f>
        <v/>
      </c>
      <c r="J421" s="8" t="n"/>
      <c r="K421" s="9" t="n"/>
      <c r="L421" s="8" t="n"/>
      <c r="M421" s="9" t="n"/>
      <c r="N421" s="8" t="n"/>
      <c r="O421" s="9" t="n"/>
      <c r="P421" s="12">
        <f>IF(C421="","",C421-SUM(K421,M421,O421))</f>
        <v/>
      </c>
      <c r="Q421" s="13">
        <f>IF(A421="","",IF(P421&lt;=0,"eingelöst",IF(AND(I421&lt;&gt;"",TODAY()&gt;I421),"abgelaufen",IF(P421&lt;C421,"teilweise","offen"))))</f>
        <v/>
      </c>
    </row>
    <row r="422">
      <c r="A422" s="7" t="n"/>
      <c r="B422" s="8" t="n"/>
      <c r="C422" s="9" t="n"/>
      <c r="D422" s="10" t="n"/>
      <c r="E422" s="10" t="n"/>
      <c r="F422" s="10" t="n"/>
      <c r="G422" s="10" t="n"/>
      <c r="H422" s="10" t="n"/>
      <c r="I422" s="11">
        <f>IF(B422="","",DATE(YEAR(B422)+3,12,31))</f>
        <v/>
      </c>
      <c r="J422" s="8" t="n"/>
      <c r="K422" s="9" t="n"/>
      <c r="L422" s="8" t="n"/>
      <c r="M422" s="9" t="n"/>
      <c r="N422" s="8" t="n"/>
      <c r="O422" s="9" t="n"/>
      <c r="P422" s="12">
        <f>IF(C422="","",C422-SUM(K422,M422,O422))</f>
        <v/>
      </c>
      <c r="Q422" s="13">
        <f>IF(A422="","",IF(P422&lt;=0,"eingelöst",IF(AND(I422&lt;&gt;"",TODAY()&gt;I422),"abgelaufen",IF(P422&lt;C422,"teilweise","offen"))))</f>
        <v/>
      </c>
    </row>
    <row r="423">
      <c r="A423" s="7" t="n"/>
      <c r="B423" s="8" t="n"/>
      <c r="C423" s="9" t="n"/>
      <c r="D423" s="10" t="n"/>
      <c r="E423" s="10" t="n"/>
      <c r="F423" s="10" t="n"/>
      <c r="G423" s="10" t="n"/>
      <c r="H423" s="10" t="n"/>
      <c r="I423" s="11">
        <f>IF(B423="","",DATE(YEAR(B423)+3,12,31))</f>
        <v/>
      </c>
      <c r="J423" s="8" t="n"/>
      <c r="K423" s="9" t="n"/>
      <c r="L423" s="8" t="n"/>
      <c r="M423" s="9" t="n"/>
      <c r="N423" s="8" t="n"/>
      <c r="O423" s="9" t="n"/>
      <c r="P423" s="12">
        <f>IF(C423="","",C423-SUM(K423,M423,O423))</f>
        <v/>
      </c>
      <c r="Q423" s="13">
        <f>IF(A423="","",IF(P423&lt;=0,"eingelöst",IF(AND(I423&lt;&gt;"",TODAY()&gt;I423),"abgelaufen",IF(P423&lt;C423,"teilweise","offen"))))</f>
        <v/>
      </c>
    </row>
    <row r="424">
      <c r="A424" s="7" t="n"/>
      <c r="B424" s="8" t="n"/>
      <c r="C424" s="9" t="n"/>
      <c r="D424" s="10" t="n"/>
      <c r="E424" s="10" t="n"/>
      <c r="F424" s="10" t="n"/>
      <c r="G424" s="10" t="n"/>
      <c r="H424" s="10" t="n"/>
      <c r="I424" s="11">
        <f>IF(B424="","",DATE(YEAR(B424)+3,12,31))</f>
        <v/>
      </c>
      <c r="J424" s="8" t="n"/>
      <c r="K424" s="9" t="n"/>
      <c r="L424" s="8" t="n"/>
      <c r="M424" s="9" t="n"/>
      <c r="N424" s="8" t="n"/>
      <c r="O424" s="9" t="n"/>
      <c r="P424" s="12">
        <f>IF(C424="","",C424-SUM(K424,M424,O424))</f>
        <v/>
      </c>
      <c r="Q424" s="13">
        <f>IF(A424="","",IF(P424&lt;=0,"eingelöst",IF(AND(I424&lt;&gt;"",TODAY()&gt;I424),"abgelaufen",IF(P424&lt;C424,"teilweise","offen"))))</f>
        <v/>
      </c>
    </row>
    <row r="425">
      <c r="A425" s="7" t="n"/>
      <c r="B425" s="8" t="n"/>
      <c r="C425" s="9" t="n"/>
      <c r="D425" s="10" t="n"/>
      <c r="E425" s="10" t="n"/>
      <c r="F425" s="10" t="n"/>
      <c r="G425" s="10" t="n"/>
      <c r="H425" s="10" t="n"/>
      <c r="I425" s="11">
        <f>IF(B425="","",DATE(YEAR(B425)+3,12,31))</f>
        <v/>
      </c>
      <c r="J425" s="8" t="n"/>
      <c r="K425" s="9" t="n"/>
      <c r="L425" s="8" t="n"/>
      <c r="M425" s="9" t="n"/>
      <c r="N425" s="8" t="n"/>
      <c r="O425" s="9" t="n"/>
      <c r="P425" s="12">
        <f>IF(C425="","",C425-SUM(K425,M425,O425))</f>
        <v/>
      </c>
      <c r="Q425" s="13">
        <f>IF(A425="","",IF(P425&lt;=0,"eingelöst",IF(AND(I425&lt;&gt;"",TODAY()&gt;I425),"abgelaufen",IF(P425&lt;C425,"teilweise","offen"))))</f>
        <v/>
      </c>
    </row>
    <row r="426">
      <c r="A426" s="7" t="n"/>
      <c r="B426" s="8" t="n"/>
      <c r="C426" s="9" t="n"/>
      <c r="D426" s="10" t="n"/>
      <c r="E426" s="10" t="n"/>
      <c r="F426" s="10" t="n"/>
      <c r="G426" s="10" t="n"/>
      <c r="H426" s="10" t="n"/>
      <c r="I426" s="11">
        <f>IF(B426="","",DATE(YEAR(B426)+3,12,31))</f>
        <v/>
      </c>
      <c r="J426" s="8" t="n"/>
      <c r="K426" s="9" t="n"/>
      <c r="L426" s="8" t="n"/>
      <c r="M426" s="9" t="n"/>
      <c r="N426" s="8" t="n"/>
      <c r="O426" s="9" t="n"/>
      <c r="P426" s="12">
        <f>IF(C426="","",C426-SUM(K426,M426,O426))</f>
        <v/>
      </c>
      <c r="Q426" s="13">
        <f>IF(A426="","",IF(P426&lt;=0,"eingelöst",IF(AND(I426&lt;&gt;"",TODAY()&gt;I426),"abgelaufen",IF(P426&lt;C426,"teilweise","offen"))))</f>
        <v/>
      </c>
    </row>
    <row r="427">
      <c r="A427" s="7" t="n"/>
      <c r="B427" s="8" t="n"/>
      <c r="C427" s="9" t="n"/>
      <c r="D427" s="10" t="n"/>
      <c r="E427" s="10" t="n"/>
      <c r="F427" s="10" t="n"/>
      <c r="G427" s="10" t="n"/>
      <c r="H427" s="10" t="n"/>
      <c r="I427" s="11">
        <f>IF(B427="","",DATE(YEAR(B427)+3,12,31))</f>
        <v/>
      </c>
      <c r="J427" s="8" t="n"/>
      <c r="K427" s="9" t="n"/>
      <c r="L427" s="8" t="n"/>
      <c r="M427" s="9" t="n"/>
      <c r="N427" s="8" t="n"/>
      <c r="O427" s="9" t="n"/>
      <c r="P427" s="12">
        <f>IF(C427="","",C427-SUM(K427,M427,O427))</f>
        <v/>
      </c>
      <c r="Q427" s="13">
        <f>IF(A427="","",IF(P427&lt;=0,"eingelöst",IF(AND(I427&lt;&gt;"",TODAY()&gt;I427),"abgelaufen",IF(P427&lt;C427,"teilweise","offen"))))</f>
        <v/>
      </c>
    </row>
    <row r="428">
      <c r="A428" s="7" t="n"/>
      <c r="B428" s="8" t="n"/>
      <c r="C428" s="9" t="n"/>
      <c r="D428" s="10" t="n"/>
      <c r="E428" s="10" t="n"/>
      <c r="F428" s="10" t="n"/>
      <c r="G428" s="10" t="n"/>
      <c r="H428" s="10" t="n"/>
      <c r="I428" s="11">
        <f>IF(B428="","",DATE(YEAR(B428)+3,12,31))</f>
        <v/>
      </c>
      <c r="J428" s="8" t="n"/>
      <c r="K428" s="9" t="n"/>
      <c r="L428" s="8" t="n"/>
      <c r="M428" s="9" t="n"/>
      <c r="N428" s="8" t="n"/>
      <c r="O428" s="9" t="n"/>
      <c r="P428" s="12">
        <f>IF(C428="","",C428-SUM(K428,M428,O428))</f>
        <v/>
      </c>
      <c r="Q428" s="13">
        <f>IF(A428="","",IF(P428&lt;=0,"eingelöst",IF(AND(I428&lt;&gt;"",TODAY()&gt;I428),"abgelaufen",IF(P428&lt;C428,"teilweise","offen"))))</f>
        <v/>
      </c>
    </row>
    <row r="429">
      <c r="A429" s="7" t="n"/>
      <c r="B429" s="8" t="n"/>
      <c r="C429" s="9" t="n"/>
      <c r="D429" s="10" t="n"/>
      <c r="E429" s="10" t="n"/>
      <c r="F429" s="10" t="n"/>
      <c r="G429" s="10" t="n"/>
      <c r="H429" s="10" t="n"/>
      <c r="I429" s="11">
        <f>IF(B429="","",DATE(YEAR(B429)+3,12,31))</f>
        <v/>
      </c>
      <c r="J429" s="8" t="n"/>
      <c r="K429" s="9" t="n"/>
      <c r="L429" s="8" t="n"/>
      <c r="M429" s="9" t="n"/>
      <c r="N429" s="8" t="n"/>
      <c r="O429" s="9" t="n"/>
      <c r="P429" s="12">
        <f>IF(C429="","",C429-SUM(K429,M429,O429))</f>
        <v/>
      </c>
      <c r="Q429" s="13">
        <f>IF(A429="","",IF(P429&lt;=0,"eingelöst",IF(AND(I429&lt;&gt;"",TODAY()&gt;I429),"abgelaufen",IF(P429&lt;C429,"teilweise","offen"))))</f>
        <v/>
      </c>
    </row>
    <row r="430">
      <c r="A430" s="7" t="n"/>
      <c r="B430" s="8" t="n"/>
      <c r="C430" s="9" t="n"/>
      <c r="D430" s="10" t="n"/>
      <c r="E430" s="10" t="n"/>
      <c r="F430" s="10" t="n"/>
      <c r="G430" s="10" t="n"/>
      <c r="H430" s="10" t="n"/>
      <c r="I430" s="11">
        <f>IF(B430="","",DATE(YEAR(B430)+3,12,31))</f>
        <v/>
      </c>
      <c r="J430" s="8" t="n"/>
      <c r="K430" s="9" t="n"/>
      <c r="L430" s="8" t="n"/>
      <c r="M430" s="9" t="n"/>
      <c r="N430" s="8" t="n"/>
      <c r="O430" s="9" t="n"/>
      <c r="P430" s="12">
        <f>IF(C430="","",C430-SUM(K430,M430,O430))</f>
        <v/>
      </c>
      <c r="Q430" s="13">
        <f>IF(A430="","",IF(P430&lt;=0,"eingelöst",IF(AND(I430&lt;&gt;"",TODAY()&gt;I430),"abgelaufen",IF(P430&lt;C430,"teilweise","offen"))))</f>
        <v/>
      </c>
    </row>
    <row r="431">
      <c r="A431" s="7" t="n"/>
      <c r="B431" s="8" t="n"/>
      <c r="C431" s="9" t="n"/>
      <c r="D431" s="10" t="n"/>
      <c r="E431" s="10" t="n"/>
      <c r="F431" s="10" t="n"/>
      <c r="G431" s="10" t="n"/>
      <c r="H431" s="10" t="n"/>
      <c r="I431" s="11">
        <f>IF(B431="","",DATE(YEAR(B431)+3,12,31))</f>
        <v/>
      </c>
      <c r="J431" s="8" t="n"/>
      <c r="K431" s="9" t="n"/>
      <c r="L431" s="8" t="n"/>
      <c r="M431" s="9" t="n"/>
      <c r="N431" s="8" t="n"/>
      <c r="O431" s="9" t="n"/>
      <c r="P431" s="12">
        <f>IF(C431="","",C431-SUM(K431,M431,O431))</f>
        <v/>
      </c>
      <c r="Q431" s="13">
        <f>IF(A431="","",IF(P431&lt;=0,"eingelöst",IF(AND(I431&lt;&gt;"",TODAY()&gt;I431),"abgelaufen",IF(P431&lt;C431,"teilweise","offen"))))</f>
        <v/>
      </c>
    </row>
    <row r="432">
      <c r="A432" s="7" t="n"/>
      <c r="B432" s="8" t="n"/>
      <c r="C432" s="9" t="n"/>
      <c r="D432" s="10" t="n"/>
      <c r="E432" s="10" t="n"/>
      <c r="F432" s="10" t="n"/>
      <c r="G432" s="10" t="n"/>
      <c r="H432" s="10" t="n"/>
      <c r="I432" s="11">
        <f>IF(B432="","",DATE(YEAR(B432)+3,12,31))</f>
        <v/>
      </c>
      <c r="J432" s="8" t="n"/>
      <c r="K432" s="9" t="n"/>
      <c r="L432" s="8" t="n"/>
      <c r="M432" s="9" t="n"/>
      <c r="N432" s="8" t="n"/>
      <c r="O432" s="9" t="n"/>
      <c r="P432" s="12">
        <f>IF(C432="","",C432-SUM(K432,M432,O432))</f>
        <v/>
      </c>
      <c r="Q432" s="13">
        <f>IF(A432="","",IF(P432&lt;=0,"eingelöst",IF(AND(I432&lt;&gt;"",TODAY()&gt;I432),"abgelaufen",IF(P432&lt;C432,"teilweise","offen"))))</f>
        <v/>
      </c>
    </row>
    <row r="433">
      <c r="A433" s="7" t="n"/>
      <c r="B433" s="8" t="n"/>
      <c r="C433" s="9" t="n"/>
      <c r="D433" s="10" t="n"/>
      <c r="E433" s="10" t="n"/>
      <c r="F433" s="10" t="n"/>
      <c r="G433" s="10" t="n"/>
      <c r="H433" s="10" t="n"/>
      <c r="I433" s="11">
        <f>IF(B433="","",DATE(YEAR(B433)+3,12,31))</f>
        <v/>
      </c>
      <c r="J433" s="8" t="n"/>
      <c r="K433" s="9" t="n"/>
      <c r="L433" s="8" t="n"/>
      <c r="M433" s="9" t="n"/>
      <c r="N433" s="8" t="n"/>
      <c r="O433" s="9" t="n"/>
      <c r="P433" s="12">
        <f>IF(C433="","",C433-SUM(K433,M433,O433))</f>
        <v/>
      </c>
      <c r="Q433" s="13">
        <f>IF(A433="","",IF(P433&lt;=0,"eingelöst",IF(AND(I433&lt;&gt;"",TODAY()&gt;I433),"abgelaufen",IF(P433&lt;C433,"teilweise","offen"))))</f>
        <v/>
      </c>
    </row>
    <row r="434">
      <c r="A434" s="7" t="n"/>
      <c r="B434" s="8" t="n"/>
      <c r="C434" s="9" t="n"/>
      <c r="D434" s="10" t="n"/>
      <c r="E434" s="10" t="n"/>
      <c r="F434" s="10" t="n"/>
      <c r="G434" s="10" t="n"/>
      <c r="H434" s="10" t="n"/>
      <c r="I434" s="11">
        <f>IF(B434="","",DATE(YEAR(B434)+3,12,31))</f>
        <v/>
      </c>
      <c r="J434" s="8" t="n"/>
      <c r="K434" s="9" t="n"/>
      <c r="L434" s="8" t="n"/>
      <c r="M434" s="9" t="n"/>
      <c r="N434" s="8" t="n"/>
      <c r="O434" s="9" t="n"/>
      <c r="P434" s="12">
        <f>IF(C434="","",C434-SUM(K434,M434,O434))</f>
        <v/>
      </c>
      <c r="Q434" s="13">
        <f>IF(A434="","",IF(P434&lt;=0,"eingelöst",IF(AND(I434&lt;&gt;"",TODAY()&gt;I434),"abgelaufen",IF(P434&lt;C434,"teilweise","offen"))))</f>
        <v/>
      </c>
    </row>
    <row r="435">
      <c r="A435" s="7" t="n"/>
      <c r="B435" s="8" t="n"/>
      <c r="C435" s="9" t="n"/>
      <c r="D435" s="10" t="n"/>
      <c r="E435" s="10" t="n"/>
      <c r="F435" s="10" t="n"/>
      <c r="G435" s="10" t="n"/>
      <c r="H435" s="10" t="n"/>
      <c r="I435" s="11">
        <f>IF(B435="","",DATE(YEAR(B435)+3,12,31))</f>
        <v/>
      </c>
      <c r="J435" s="8" t="n"/>
      <c r="K435" s="9" t="n"/>
      <c r="L435" s="8" t="n"/>
      <c r="M435" s="9" t="n"/>
      <c r="N435" s="8" t="n"/>
      <c r="O435" s="9" t="n"/>
      <c r="P435" s="12">
        <f>IF(C435="","",C435-SUM(K435,M435,O435))</f>
        <v/>
      </c>
      <c r="Q435" s="13">
        <f>IF(A435="","",IF(P435&lt;=0,"eingelöst",IF(AND(I435&lt;&gt;"",TODAY()&gt;I435),"abgelaufen",IF(P435&lt;C435,"teilweise","offen"))))</f>
        <v/>
      </c>
    </row>
    <row r="436">
      <c r="A436" s="7" t="n"/>
      <c r="B436" s="8" t="n"/>
      <c r="C436" s="9" t="n"/>
      <c r="D436" s="10" t="n"/>
      <c r="E436" s="10" t="n"/>
      <c r="F436" s="10" t="n"/>
      <c r="G436" s="10" t="n"/>
      <c r="H436" s="10" t="n"/>
      <c r="I436" s="11">
        <f>IF(B436="","",DATE(YEAR(B436)+3,12,31))</f>
        <v/>
      </c>
      <c r="J436" s="8" t="n"/>
      <c r="K436" s="9" t="n"/>
      <c r="L436" s="8" t="n"/>
      <c r="M436" s="9" t="n"/>
      <c r="N436" s="8" t="n"/>
      <c r="O436" s="9" t="n"/>
      <c r="P436" s="12">
        <f>IF(C436="","",C436-SUM(K436,M436,O436))</f>
        <v/>
      </c>
      <c r="Q436" s="13">
        <f>IF(A436="","",IF(P436&lt;=0,"eingelöst",IF(AND(I436&lt;&gt;"",TODAY()&gt;I436),"abgelaufen",IF(P436&lt;C436,"teilweise","offen"))))</f>
        <v/>
      </c>
    </row>
    <row r="437">
      <c r="A437" s="7" t="n"/>
      <c r="B437" s="8" t="n"/>
      <c r="C437" s="9" t="n"/>
      <c r="D437" s="10" t="n"/>
      <c r="E437" s="10" t="n"/>
      <c r="F437" s="10" t="n"/>
      <c r="G437" s="10" t="n"/>
      <c r="H437" s="10" t="n"/>
      <c r="I437" s="11">
        <f>IF(B437="","",DATE(YEAR(B437)+3,12,31))</f>
        <v/>
      </c>
      <c r="J437" s="8" t="n"/>
      <c r="K437" s="9" t="n"/>
      <c r="L437" s="8" t="n"/>
      <c r="M437" s="9" t="n"/>
      <c r="N437" s="8" t="n"/>
      <c r="O437" s="9" t="n"/>
      <c r="P437" s="12">
        <f>IF(C437="","",C437-SUM(K437,M437,O437))</f>
        <v/>
      </c>
      <c r="Q437" s="13">
        <f>IF(A437="","",IF(P437&lt;=0,"eingelöst",IF(AND(I437&lt;&gt;"",TODAY()&gt;I437),"abgelaufen",IF(P437&lt;C437,"teilweise","offen"))))</f>
        <v/>
      </c>
    </row>
    <row r="438">
      <c r="A438" s="7" t="n"/>
      <c r="B438" s="8" t="n"/>
      <c r="C438" s="9" t="n"/>
      <c r="D438" s="10" t="n"/>
      <c r="E438" s="10" t="n"/>
      <c r="F438" s="10" t="n"/>
      <c r="G438" s="10" t="n"/>
      <c r="H438" s="10" t="n"/>
      <c r="I438" s="11">
        <f>IF(B438="","",DATE(YEAR(B438)+3,12,31))</f>
        <v/>
      </c>
      <c r="J438" s="8" t="n"/>
      <c r="K438" s="9" t="n"/>
      <c r="L438" s="8" t="n"/>
      <c r="M438" s="9" t="n"/>
      <c r="N438" s="8" t="n"/>
      <c r="O438" s="9" t="n"/>
      <c r="P438" s="12">
        <f>IF(C438="","",C438-SUM(K438,M438,O438))</f>
        <v/>
      </c>
      <c r="Q438" s="13">
        <f>IF(A438="","",IF(P438&lt;=0,"eingelöst",IF(AND(I438&lt;&gt;"",TODAY()&gt;I438),"abgelaufen",IF(P438&lt;C438,"teilweise","offen"))))</f>
        <v/>
      </c>
    </row>
    <row r="439">
      <c r="A439" s="7" t="n"/>
      <c r="B439" s="8" t="n"/>
      <c r="C439" s="9" t="n"/>
      <c r="D439" s="10" t="n"/>
      <c r="E439" s="10" t="n"/>
      <c r="F439" s="10" t="n"/>
      <c r="G439" s="10" t="n"/>
      <c r="H439" s="10" t="n"/>
      <c r="I439" s="11">
        <f>IF(B439="","",DATE(YEAR(B439)+3,12,31))</f>
        <v/>
      </c>
      <c r="J439" s="8" t="n"/>
      <c r="K439" s="9" t="n"/>
      <c r="L439" s="8" t="n"/>
      <c r="M439" s="9" t="n"/>
      <c r="N439" s="8" t="n"/>
      <c r="O439" s="9" t="n"/>
      <c r="P439" s="12">
        <f>IF(C439="","",C439-SUM(K439,M439,O439))</f>
        <v/>
      </c>
      <c r="Q439" s="13">
        <f>IF(A439="","",IF(P439&lt;=0,"eingelöst",IF(AND(I439&lt;&gt;"",TODAY()&gt;I439),"abgelaufen",IF(P439&lt;C439,"teilweise","offen"))))</f>
        <v/>
      </c>
    </row>
    <row r="440">
      <c r="A440" s="7" t="n"/>
      <c r="B440" s="8" t="n"/>
      <c r="C440" s="9" t="n"/>
      <c r="D440" s="10" t="n"/>
      <c r="E440" s="10" t="n"/>
      <c r="F440" s="10" t="n"/>
      <c r="G440" s="10" t="n"/>
      <c r="H440" s="10" t="n"/>
      <c r="I440" s="11">
        <f>IF(B440="","",DATE(YEAR(B440)+3,12,31))</f>
        <v/>
      </c>
      <c r="J440" s="8" t="n"/>
      <c r="K440" s="9" t="n"/>
      <c r="L440" s="8" t="n"/>
      <c r="M440" s="9" t="n"/>
      <c r="N440" s="8" t="n"/>
      <c r="O440" s="9" t="n"/>
      <c r="P440" s="12">
        <f>IF(C440="","",C440-SUM(K440,M440,O440))</f>
        <v/>
      </c>
      <c r="Q440" s="13">
        <f>IF(A440="","",IF(P440&lt;=0,"eingelöst",IF(AND(I440&lt;&gt;"",TODAY()&gt;I440),"abgelaufen",IF(P440&lt;C440,"teilweise","offen"))))</f>
        <v/>
      </c>
    </row>
    <row r="441">
      <c r="A441" s="7" t="n"/>
      <c r="B441" s="8" t="n"/>
      <c r="C441" s="9" t="n"/>
      <c r="D441" s="10" t="n"/>
      <c r="E441" s="10" t="n"/>
      <c r="F441" s="10" t="n"/>
      <c r="G441" s="10" t="n"/>
      <c r="H441" s="10" t="n"/>
      <c r="I441" s="11">
        <f>IF(B441="","",DATE(YEAR(B441)+3,12,31))</f>
        <v/>
      </c>
      <c r="J441" s="8" t="n"/>
      <c r="K441" s="9" t="n"/>
      <c r="L441" s="8" t="n"/>
      <c r="M441" s="9" t="n"/>
      <c r="N441" s="8" t="n"/>
      <c r="O441" s="9" t="n"/>
      <c r="P441" s="12">
        <f>IF(C441="","",C441-SUM(K441,M441,O441))</f>
        <v/>
      </c>
      <c r="Q441" s="13">
        <f>IF(A441="","",IF(P441&lt;=0,"eingelöst",IF(AND(I441&lt;&gt;"",TODAY()&gt;I441),"abgelaufen",IF(P441&lt;C441,"teilweise","offen"))))</f>
        <v/>
      </c>
    </row>
    <row r="442">
      <c r="A442" s="7" t="n"/>
      <c r="B442" s="8" t="n"/>
      <c r="C442" s="9" t="n"/>
      <c r="D442" s="10" t="n"/>
      <c r="E442" s="10" t="n"/>
      <c r="F442" s="10" t="n"/>
      <c r="G442" s="10" t="n"/>
      <c r="H442" s="10" t="n"/>
      <c r="I442" s="11">
        <f>IF(B442="","",DATE(YEAR(B442)+3,12,31))</f>
        <v/>
      </c>
      <c r="J442" s="8" t="n"/>
      <c r="K442" s="9" t="n"/>
      <c r="L442" s="8" t="n"/>
      <c r="M442" s="9" t="n"/>
      <c r="N442" s="8" t="n"/>
      <c r="O442" s="9" t="n"/>
      <c r="P442" s="12">
        <f>IF(C442="","",C442-SUM(K442,M442,O442))</f>
        <v/>
      </c>
      <c r="Q442" s="13">
        <f>IF(A442="","",IF(P442&lt;=0,"eingelöst",IF(AND(I442&lt;&gt;"",TODAY()&gt;I442),"abgelaufen",IF(P442&lt;C442,"teilweise","offen"))))</f>
        <v/>
      </c>
    </row>
    <row r="443">
      <c r="A443" s="7" t="n"/>
      <c r="B443" s="8" t="n"/>
      <c r="C443" s="9" t="n"/>
      <c r="D443" s="10" t="n"/>
      <c r="E443" s="10" t="n"/>
      <c r="F443" s="10" t="n"/>
      <c r="G443" s="10" t="n"/>
      <c r="H443" s="10" t="n"/>
      <c r="I443" s="11">
        <f>IF(B443="","",DATE(YEAR(B443)+3,12,31))</f>
        <v/>
      </c>
      <c r="J443" s="8" t="n"/>
      <c r="K443" s="9" t="n"/>
      <c r="L443" s="8" t="n"/>
      <c r="M443" s="9" t="n"/>
      <c r="N443" s="8" t="n"/>
      <c r="O443" s="9" t="n"/>
      <c r="P443" s="12">
        <f>IF(C443="","",C443-SUM(K443,M443,O443))</f>
        <v/>
      </c>
      <c r="Q443" s="13">
        <f>IF(A443="","",IF(P443&lt;=0,"eingelöst",IF(AND(I443&lt;&gt;"",TODAY()&gt;I443),"abgelaufen",IF(P443&lt;C443,"teilweise","offen"))))</f>
        <v/>
      </c>
    </row>
    <row r="444">
      <c r="A444" s="7" t="n"/>
      <c r="B444" s="8" t="n"/>
      <c r="C444" s="9" t="n"/>
      <c r="D444" s="10" t="n"/>
      <c r="E444" s="10" t="n"/>
      <c r="F444" s="10" t="n"/>
      <c r="G444" s="10" t="n"/>
      <c r="H444" s="10" t="n"/>
      <c r="I444" s="11">
        <f>IF(B444="","",DATE(YEAR(B444)+3,12,31))</f>
        <v/>
      </c>
      <c r="J444" s="8" t="n"/>
      <c r="K444" s="9" t="n"/>
      <c r="L444" s="8" t="n"/>
      <c r="M444" s="9" t="n"/>
      <c r="N444" s="8" t="n"/>
      <c r="O444" s="9" t="n"/>
      <c r="P444" s="12">
        <f>IF(C444="","",C444-SUM(K444,M444,O444))</f>
        <v/>
      </c>
      <c r="Q444" s="13">
        <f>IF(A444="","",IF(P444&lt;=0,"eingelöst",IF(AND(I444&lt;&gt;"",TODAY()&gt;I444),"abgelaufen",IF(P444&lt;C444,"teilweise","offen"))))</f>
        <v/>
      </c>
    </row>
    <row r="445">
      <c r="A445" s="7" t="n"/>
      <c r="B445" s="8" t="n"/>
      <c r="C445" s="9" t="n"/>
      <c r="D445" s="10" t="n"/>
      <c r="E445" s="10" t="n"/>
      <c r="F445" s="10" t="n"/>
      <c r="G445" s="10" t="n"/>
      <c r="H445" s="10" t="n"/>
      <c r="I445" s="11">
        <f>IF(B445="","",DATE(YEAR(B445)+3,12,31))</f>
        <v/>
      </c>
      <c r="J445" s="8" t="n"/>
      <c r="K445" s="9" t="n"/>
      <c r="L445" s="8" t="n"/>
      <c r="M445" s="9" t="n"/>
      <c r="N445" s="8" t="n"/>
      <c r="O445" s="9" t="n"/>
      <c r="P445" s="12">
        <f>IF(C445="","",C445-SUM(K445,M445,O445))</f>
        <v/>
      </c>
      <c r="Q445" s="13">
        <f>IF(A445="","",IF(P445&lt;=0,"eingelöst",IF(AND(I445&lt;&gt;"",TODAY()&gt;I445),"abgelaufen",IF(P445&lt;C445,"teilweise","offen"))))</f>
        <v/>
      </c>
    </row>
    <row r="446">
      <c r="A446" s="7" t="n"/>
      <c r="B446" s="8" t="n"/>
      <c r="C446" s="9" t="n"/>
      <c r="D446" s="10" t="n"/>
      <c r="E446" s="10" t="n"/>
      <c r="F446" s="10" t="n"/>
      <c r="G446" s="10" t="n"/>
      <c r="H446" s="10" t="n"/>
      <c r="I446" s="11">
        <f>IF(B446="","",DATE(YEAR(B446)+3,12,31))</f>
        <v/>
      </c>
      <c r="J446" s="8" t="n"/>
      <c r="K446" s="9" t="n"/>
      <c r="L446" s="8" t="n"/>
      <c r="M446" s="9" t="n"/>
      <c r="N446" s="8" t="n"/>
      <c r="O446" s="9" t="n"/>
      <c r="P446" s="12">
        <f>IF(C446="","",C446-SUM(K446,M446,O446))</f>
        <v/>
      </c>
      <c r="Q446" s="13">
        <f>IF(A446="","",IF(P446&lt;=0,"eingelöst",IF(AND(I446&lt;&gt;"",TODAY()&gt;I446),"abgelaufen",IF(P446&lt;C446,"teilweise","offen"))))</f>
        <v/>
      </c>
    </row>
    <row r="447">
      <c r="A447" s="7" t="n"/>
      <c r="B447" s="8" t="n"/>
      <c r="C447" s="9" t="n"/>
      <c r="D447" s="10" t="n"/>
      <c r="E447" s="10" t="n"/>
      <c r="F447" s="10" t="n"/>
      <c r="G447" s="10" t="n"/>
      <c r="H447" s="10" t="n"/>
      <c r="I447" s="11">
        <f>IF(B447="","",DATE(YEAR(B447)+3,12,31))</f>
        <v/>
      </c>
      <c r="J447" s="8" t="n"/>
      <c r="K447" s="9" t="n"/>
      <c r="L447" s="8" t="n"/>
      <c r="M447" s="9" t="n"/>
      <c r="N447" s="8" t="n"/>
      <c r="O447" s="9" t="n"/>
      <c r="P447" s="12">
        <f>IF(C447="","",C447-SUM(K447,M447,O447))</f>
        <v/>
      </c>
      <c r="Q447" s="13">
        <f>IF(A447="","",IF(P447&lt;=0,"eingelöst",IF(AND(I447&lt;&gt;"",TODAY()&gt;I447),"abgelaufen",IF(P447&lt;C447,"teilweise","offen"))))</f>
        <v/>
      </c>
    </row>
    <row r="448">
      <c r="A448" s="7" t="n"/>
      <c r="B448" s="8" t="n"/>
      <c r="C448" s="9" t="n"/>
      <c r="D448" s="10" t="n"/>
      <c r="E448" s="10" t="n"/>
      <c r="F448" s="10" t="n"/>
      <c r="G448" s="10" t="n"/>
      <c r="H448" s="10" t="n"/>
      <c r="I448" s="11">
        <f>IF(B448="","",DATE(YEAR(B448)+3,12,31))</f>
        <v/>
      </c>
      <c r="J448" s="8" t="n"/>
      <c r="K448" s="9" t="n"/>
      <c r="L448" s="8" t="n"/>
      <c r="M448" s="9" t="n"/>
      <c r="N448" s="8" t="n"/>
      <c r="O448" s="9" t="n"/>
      <c r="P448" s="12">
        <f>IF(C448="","",C448-SUM(K448,M448,O448))</f>
        <v/>
      </c>
      <c r="Q448" s="13">
        <f>IF(A448="","",IF(P448&lt;=0,"eingelöst",IF(AND(I448&lt;&gt;"",TODAY()&gt;I448),"abgelaufen",IF(P448&lt;C448,"teilweise","offen"))))</f>
        <v/>
      </c>
    </row>
    <row r="449">
      <c r="A449" s="7" t="n"/>
      <c r="B449" s="8" t="n"/>
      <c r="C449" s="9" t="n"/>
      <c r="D449" s="10" t="n"/>
      <c r="E449" s="10" t="n"/>
      <c r="F449" s="10" t="n"/>
      <c r="G449" s="10" t="n"/>
      <c r="H449" s="10" t="n"/>
      <c r="I449" s="11">
        <f>IF(B449="","",DATE(YEAR(B449)+3,12,31))</f>
        <v/>
      </c>
      <c r="J449" s="8" t="n"/>
      <c r="K449" s="9" t="n"/>
      <c r="L449" s="8" t="n"/>
      <c r="M449" s="9" t="n"/>
      <c r="N449" s="8" t="n"/>
      <c r="O449" s="9" t="n"/>
      <c r="P449" s="12">
        <f>IF(C449="","",C449-SUM(K449,M449,O449))</f>
        <v/>
      </c>
      <c r="Q449" s="13">
        <f>IF(A449="","",IF(P449&lt;=0,"eingelöst",IF(AND(I449&lt;&gt;"",TODAY()&gt;I449),"abgelaufen",IF(P449&lt;C449,"teilweise","offen"))))</f>
        <v/>
      </c>
    </row>
    <row r="450">
      <c r="A450" s="7" t="n"/>
      <c r="B450" s="8" t="n"/>
      <c r="C450" s="9" t="n"/>
      <c r="D450" s="10" t="n"/>
      <c r="E450" s="10" t="n"/>
      <c r="F450" s="10" t="n"/>
      <c r="G450" s="10" t="n"/>
      <c r="H450" s="10" t="n"/>
      <c r="I450" s="11">
        <f>IF(B450="","",DATE(YEAR(B450)+3,12,31))</f>
        <v/>
      </c>
      <c r="J450" s="8" t="n"/>
      <c r="K450" s="9" t="n"/>
      <c r="L450" s="8" t="n"/>
      <c r="M450" s="9" t="n"/>
      <c r="N450" s="8" t="n"/>
      <c r="O450" s="9" t="n"/>
      <c r="P450" s="12">
        <f>IF(C450="","",C450-SUM(K450,M450,O450))</f>
        <v/>
      </c>
      <c r="Q450" s="13">
        <f>IF(A450="","",IF(P450&lt;=0,"eingelöst",IF(AND(I450&lt;&gt;"",TODAY()&gt;I450),"abgelaufen",IF(P450&lt;C450,"teilweise","offen"))))</f>
        <v/>
      </c>
    </row>
    <row r="451">
      <c r="A451" s="7" t="n"/>
      <c r="B451" s="8" t="n"/>
      <c r="C451" s="9" t="n"/>
      <c r="D451" s="10" t="n"/>
      <c r="E451" s="10" t="n"/>
      <c r="F451" s="10" t="n"/>
      <c r="G451" s="10" t="n"/>
      <c r="H451" s="10" t="n"/>
      <c r="I451" s="11">
        <f>IF(B451="","",DATE(YEAR(B451)+3,12,31))</f>
        <v/>
      </c>
      <c r="J451" s="8" t="n"/>
      <c r="K451" s="9" t="n"/>
      <c r="L451" s="8" t="n"/>
      <c r="M451" s="9" t="n"/>
      <c r="N451" s="8" t="n"/>
      <c r="O451" s="9" t="n"/>
      <c r="P451" s="12">
        <f>IF(C451="","",C451-SUM(K451,M451,O451))</f>
        <v/>
      </c>
      <c r="Q451" s="13">
        <f>IF(A451="","",IF(P451&lt;=0,"eingelöst",IF(AND(I451&lt;&gt;"",TODAY()&gt;I451),"abgelaufen",IF(P451&lt;C451,"teilweise","offen"))))</f>
        <v/>
      </c>
    </row>
    <row r="452">
      <c r="A452" s="7" t="n"/>
      <c r="B452" s="8" t="n"/>
      <c r="C452" s="9" t="n"/>
      <c r="D452" s="10" t="n"/>
      <c r="E452" s="10" t="n"/>
      <c r="F452" s="10" t="n"/>
      <c r="G452" s="10" t="n"/>
      <c r="H452" s="10" t="n"/>
      <c r="I452" s="11">
        <f>IF(B452="","",DATE(YEAR(B452)+3,12,31))</f>
        <v/>
      </c>
      <c r="J452" s="8" t="n"/>
      <c r="K452" s="9" t="n"/>
      <c r="L452" s="8" t="n"/>
      <c r="M452" s="9" t="n"/>
      <c r="N452" s="8" t="n"/>
      <c r="O452" s="9" t="n"/>
      <c r="P452" s="12">
        <f>IF(C452="","",C452-SUM(K452,M452,O452))</f>
        <v/>
      </c>
      <c r="Q452" s="13">
        <f>IF(A452="","",IF(P452&lt;=0,"eingelöst",IF(AND(I452&lt;&gt;"",TODAY()&gt;I452),"abgelaufen",IF(P452&lt;C452,"teilweise","offen"))))</f>
        <v/>
      </c>
    </row>
    <row r="453">
      <c r="A453" s="7" t="n"/>
      <c r="B453" s="8" t="n"/>
      <c r="C453" s="9" t="n"/>
      <c r="D453" s="10" t="n"/>
      <c r="E453" s="10" t="n"/>
      <c r="F453" s="10" t="n"/>
      <c r="G453" s="10" t="n"/>
      <c r="H453" s="10" t="n"/>
      <c r="I453" s="11">
        <f>IF(B453="","",DATE(YEAR(B453)+3,12,31))</f>
        <v/>
      </c>
      <c r="J453" s="8" t="n"/>
      <c r="K453" s="9" t="n"/>
      <c r="L453" s="8" t="n"/>
      <c r="M453" s="9" t="n"/>
      <c r="N453" s="8" t="n"/>
      <c r="O453" s="9" t="n"/>
      <c r="P453" s="12">
        <f>IF(C453="","",C453-SUM(K453,M453,O453))</f>
        <v/>
      </c>
      <c r="Q453" s="13">
        <f>IF(A453="","",IF(P453&lt;=0,"eingelöst",IF(AND(I453&lt;&gt;"",TODAY()&gt;I453),"abgelaufen",IF(P453&lt;C453,"teilweise","offen"))))</f>
        <v/>
      </c>
    </row>
    <row r="454">
      <c r="A454" s="7" t="n"/>
      <c r="B454" s="8" t="n"/>
      <c r="C454" s="9" t="n"/>
      <c r="D454" s="10" t="n"/>
      <c r="E454" s="10" t="n"/>
      <c r="F454" s="10" t="n"/>
      <c r="G454" s="10" t="n"/>
      <c r="H454" s="10" t="n"/>
      <c r="I454" s="11">
        <f>IF(B454="","",DATE(YEAR(B454)+3,12,31))</f>
        <v/>
      </c>
      <c r="J454" s="8" t="n"/>
      <c r="K454" s="9" t="n"/>
      <c r="L454" s="8" t="n"/>
      <c r="M454" s="9" t="n"/>
      <c r="N454" s="8" t="n"/>
      <c r="O454" s="9" t="n"/>
      <c r="P454" s="12">
        <f>IF(C454="","",C454-SUM(K454,M454,O454))</f>
        <v/>
      </c>
      <c r="Q454" s="13">
        <f>IF(A454="","",IF(P454&lt;=0,"eingelöst",IF(AND(I454&lt;&gt;"",TODAY()&gt;I454),"abgelaufen",IF(P454&lt;C454,"teilweise","offen"))))</f>
        <v/>
      </c>
    </row>
    <row r="455">
      <c r="A455" s="7" t="n"/>
      <c r="B455" s="8" t="n"/>
      <c r="C455" s="9" t="n"/>
      <c r="D455" s="10" t="n"/>
      <c r="E455" s="10" t="n"/>
      <c r="F455" s="10" t="n"/>
      <c r="G455" s="10" t="n"/>
      <c r="H455" s="10" t="n"/>
      <c r="I455" s="11">
        <f>IF(B455="","",DATE(YEAR(B455)+3,12,31))</f>
        <v/>
      </c>
      <c r="J455" s="8" t="n"/>
      <c r="K455" s="9" t="n"/>
      <c r="L455" s="8" t="n"/>
      <c r="M455" s="9" t="n"/>
      <c r="N455" s="8" t="n"/>
      <c r="O455" s="9" t="n"/>
      <c r="P455" s="12">
        <f>IF(C455="","",C455-SUM(K455,M455,O455))</f>
        <v/>
      </c>
      <c r="Q455" s="13">
        <f>IF(A455="","",IF(P455&lt;=0,"eingelöst",IF(AND(I455&lt;&gt;"",TODAY()&gt;I455),"abgelaufen",IF(P455&lt;C455,"teilweise","offen"))))</f>
        <v/>
      </c>
    </row>
    <row r="456">
      <c r="A456" s="7" t="n"/>
      <c r="B456" s="8" t="n"/>
      <c r="C456" s="9" t="n"/>
      <c r="D456" s="10" t="n"/>
      <c r="E456" s="10" t="n"/>
      <c r="F456" s="10" t="n"/>
      <c r="G456" s="10" t="n"/>
      <c r="H456" s="10" t="n"/>
      <c r="I456" s="11">
        <f>IF(B456="","",DATE(YEAR(B456)+3,12,31))</f>
        <v/>
      </c>
      <c r="J456" s="8" t="n"/>
      <c r="K456" s="9" t="n"/>
      <c r="L456" s="8" t="n"/>
      <c r="M456" s="9" t="n"/>
      <c r="N456" s="8" t="n"/>
      <c r="O456" s="9" t="n"/>
      <c r="P456" s="12">
        <f>IF(C456="","",C456-SUM(K456,M456,O456))</f>
        <v/>
      </c>
      <c r="Q456" s="13">
        <f>IF(A456="","",IF(P456&lt;=0,"eingelöst",IF(AND(I456&lt;&gt;"",TODAY()&gt;I456),"abgelaufen",IF(P456&lt;C456,"teilweise","offen"))))</f>
        <v/>
      </c>
    </row>
    <row r="457">
      <c r="A457" s="7" t="n"/>
      <c r="B457" s="8" t="n"/>
      <c r="C457" s="9" t="n"/>
      <c r="D457" s="10" t="n"/>
      <c r="E457" s="10" t="n"/>
      <c r="F457" s="10" t="n"/>
      <c r="G457" s="10" t="n"/>
      <c r="H457" s="10" t="n"/>
      <c r="I457" s="11">
        <f>IF(B457="","",DATE(YEAR(B457)+3,12,31))</f>
        <v/>
      </c>
      <c r="J457" s="8" t="n"/>
      <c r="K457" s="9" t="n"/>
      <c r="L457" s="8" t="n"/>
      <c r="M457" s="9" t="n"/>
      <c r="N457" s="8" t="n"/>
      <c r="O457" s="9" t="n"/>
      <c r="P457" s="12">
        <f>IF(C457="","",C457-SUM(K457,M457,O457))</f>
        <v/>
      </c>
      <c r="Q457" s="13">
        <f>IF(A457="","",IF(P457&lt;=0,"eingelöst",IF(AND(I457&lt;&gt;"",TODAY()&gt;I457),"abgelaufen",IF(P457&lt;C457,"teilweise","offen"))))</f>
        <v/>
      </c>
    </row>
    <row r="458">
      <c r="A458" s="7" t="n"/>
      <c r="B458" s="8" t="n"/>
      <c r="C458" s="9" t="n"/>
      <c r="D458" s="10" t="n"/>
      <c r="E458" s="10" t="n"/>
      <c r="F458" s="10" t="n"/>
      <c r="G458" s="10" t="n"/>
      <c r="H458" s="10" t="n"/>
      <c r="I458" s="11">
        <f>IF(B458="","",DATE(YEAR(B458)+3,12,31))</f>
        <v/>
      </c>
      <c r="J458" s="8" t="n"/>
      <c r="K458" s="9" t="n"/>
      <c r="L458" s="8" t="n"/>
      <c r="M458" s="9" t="n"/>
      <c r="N458" s="8" t="n"/>
      <c r="O458" s="9" t="n"/>
      <c r="P458" s="12">
        <f>IF(C458="","",C458-SUM(K458,M458,O458))</f>
        <v/>
      </c>
      <c r="Q458" s="13">
        <f>IF(A458="","",IF(P458&lt;=0,"eingelöst",IF(AND(I458&lt;&gt;"",TODAY()&gt;I458),"abgelaufen",IF(P458&lt;C458,"teilweise","offen"))))</f>
        <v/>
      </c>
    </row>
    <row r="459">
      <c r="A459" s="7" t="n"/>
      <c r="B459" s="8" t="n"/>
      <c r="C459" s="9" t="n"/>
      <c r="D459" s="10" t="n"/>
      <c r="E459" s="10" t="n"/>
      <c r="F459" s="10" t="n"/>
      <c r="G459" s="10" t="n"/>
      <c r="H459" s="10" t="n"/>
      <c r="I459" s="11">
        <f>IF(B459="","",DATE(YEAR(B459)+3,12,31))</f>
        <v/>
      </c>
      <c r="J459" s="8" t="n"/>
      <c r="K459" s="9" t="n"/>
      <c r="L459" s="8" t="n"/>
      <c r="M459" s="9" t="n"/>
      <c r="N459" s="8" t="n"/>
      <c r="O459" s="9" t="n"/>
      <c r="P459" s="12">
        <f>IF(C459="","",C459-SUM(K459,M459,O459))</f>
        <v/>
      </c>
      <c r="Q459" s="13">
        <f>IF(A459="","",IF(P459&lt;=0,"eingelöst",IF(AND(I459&lt;&gt;"",TODAY()&gt;I459),"abgelaufen",IF(P459&lt;C459,"teilweise","offen"))))</f>
        <v/>
      </c>
    </row>
    <row r="460">
      <c r="A460" s="7" t="n"/>
      <c r="B460" s="8" t="n"/>
      <c r="C460" s="9" t="n"/>
      <c r="D460" s="10" t="n"/>
      <c r="E460" s="10" t="n"/>
      <c r="F460" s="10" t="n"/>
      <c r="G460" s="10" t="n"/>
      <c r="H460" s="10" t="n"/>
      <c r="I460" s="11">
        <f>IF(B460="","",DATE(YEAR(B460)+3,12,31))</f>
        <v/>
      </c>
      <c r="J460" s="8" t="n"/>
      <c r="K460" s="9" t="n"/>
      <c r="L460" s="8" t="n"/>
      <c r="M460" s="9" t="n"/>
      <c r="N460" s="8" t="n"/>
      <c r="O460" s="9" t="n"/>
      <c r="P460" s="12">
        <f>IF(C460="","",C460-SUM(K460,M460,O460))</f>
        <v/>
      </c>
      <c r="Q460" s="13">
        <f>IF(A460="","",IF(P460&lt;=0,"eingelöst",IF(AND(I460&lt;&gt;"",TODAY()&gt;I460),"abgelaufen",IF(P460&lt;C460,"teilweise","offen"))))</f>
        <v/>
      </c>
    </row>
    <row r="461">
      <c r="A461" s="7" t="n"/>
      <c r="B461" s="8" t="n"/>
      <c r="C461" s="9" t="n"/>
      <c r="D461" s="10" t="n"/>
      <c r="E461" s="10" t="n"/>
      <c r="F461" s="10" t="n"/>
      <c r="G461" s="10" t="n"/>
      <c r="H461" s="10" t="n"/>
      <c r="I461" s="11">
        <f>IF(B461="","",DATE(YEAR(B461)+3,12,31))</f>
        <v/>
      </c>
      <c r="J461" s="8" t="n"/>
      <c r="K461" s="9" t="n"/>
      <c r="L461" s="8" t="n"/>
      <c r="M461" s="9" t="n"/>
      <c r="N461" s="8" t="n"/>
      <c r="O461" s="9" t="n"/>
      <c r="P461" s="12">
        <f>IF(C461="","",C461-SUM(K461,M461,O461))</f>
        <v/>
      </c>
      <c r="Q461" s="13">
        <f>IF(A461="","",IF(P461&lt;=0,"eingelöst",IF(AND(I461&lt;&gt;"",TODAY()&gt;I461),"abgelaufen",IF(P461&lt;C461,"teilweise","offen"))))</f>
        <v/>
      </c>
    </row>
    <row r="462">
      <c r="A462" s="7" t="n"/>
      <c r="B462" s="8" t="n"/>
      <c r="C462" s="9" t="n"/>
      <c r="D462" s="10" t="n"/>
      <c r="E462" s="10" t="n"/>
      <c r="F462" s="10" t="n"/>
      <c r="G462" s="10" t="n"/>
      <c r="H462" s="10" t="n"/>
      <c r="I462" s="11">
        <f>IF(B462="","",DATE(YEAR(B462)+3,12,31))</f>
        <v/>
      </c>
      <c r="J462" s="8" t="n"/>
      <c r="K462" s="9" t="n"/>
      <c r="L462" s="8" t="n"/>
      <c r="M462" s="9" t="n"/>
      <c r="N462" s="8" t="n"/>
      <c r="O462" s="9" t="n"/>
      <c r="P462" s="12">
        <f>IF(C462="","",C462-SUM(K462,M462,O462))</f>
        <v/>
      </c>
      <c r="Q462" s="13">
        <f>IF(A462="","",IF(P462&lt;=0,"eingelöst",IF(AND(I462&lt;&gt;"",TODAY()&gt;I462),"abgelaufen",IF(P462&lt;C462,"teilweise","offen"))))</f>
        <v/>
      </c>
    </row>
    <row r="463">
      <c r="A463" s="7" t="n"/>
      <c r="B463" s="8" t="n"/>
      <c r="C463" s="9" t="n"/>
      <c r="D463" s="10" t="n"/>
      <c r="E463" s="10" t="n"/>
      <c r="F463" s="10" t="n"/>
      <c r="G463" s="10" t="n"/>
      <c r="H463" s="10" t="n"/>
      <c r="I463" s="11">
        <f>IF(B463="","",DATE(YEAR(B463)+3,12,31))</f>
        <v/>
      </c>
      <c r="J463" s="8" t="n"/>
      <c r="K463" s="9" t="n"/>
      <c r="L463" s="8" t="n"/>
      <c r="M463" s="9" t="n"/>
      <c r="N463" s="8" t="n"/>
      <c r="O463" s="9" t="n"/>
      <c r="P463" s="12">
        <f>IF(C463="","",C463-SUM(K463,M463,O463))</f>
        <v/>
      </c>
      <c r="Q463" s="13">
        <f>IF(A463="","",IF(P463&lt;=0,"eingelöst",IF(AND(I463&lt;&gt;"",TODAY()&gt;I463),"abgelaufen",IF(P463&lt;C463,"teilweise","offen"))))</f>
        <v/>
      </c>
    </row>
    <row r="464">
      <c r="A464" s="7" t="n"/>
      <c r="B464" s="8" t="n"/>
      <c r="C464" s="9" t="n"/>
      <c r="D464" s="10" t="n"/>
      <c r="E464" s="10" t="n"/>
      <c r="F464" s="10" t="n"/>
      <c r="G464" s="10" t="n"/>
      <c r="H464" s="10" t="n"/>
      <c r="I464" s="11">
        <f>IF(B464="","",DATE(YEAR(B464)+3,12,31))</f>
        <v/>
      </c>
      <c r="J464" s="8" t="n"/>
      <c r="K464" s="9" t="n"/>
      <c r="L464" s="8" t="n"/>
      <c r="M464" s="9" t="n"/>
      <c r="N464" s="8" t="n"/>
      <c r="O464" s="9" t="n"/>
      <c r="P464" s="12">
        <f>IF(C464="","",C464-SUM(K464,M464,O464))</f>
        <v/>
      </c>
      <c r="Q464" s="13">
        <f>IF(A464="","",IF(P464&lt;=0,"eingelöst",IF(AND(I464&lt;&gt;"",TODAY()&gt;I464),"abgelaufen",IF(P464&lt;C464,"teilweise","offen"))))</f>
        <v/>
      </c>
    </row>
    <row r="465">
      <c r="A465" s="7" t="n"/>
      <c r="B465" s="8" t="n"/>
      <c r="C465" s="9" t="n"/>
      <c r="D465" s="10" t="n"/>
      <c r="E465" s="10" t="n"/>
      <c r="F465" s="10" t="n"/>
      <c r="G465" s="10" t="n"/>
      <c r="H465" s="10" t="n"/>
      <c r="I465" s="11">
        <f>IF(B465="","",DATE(YEAR(B465)+3,12,31))</f>
        <v/>
      </c>
      <c r="J465" s="8" t="n"/>
      <c r="K465" s="9" t="n"/>
      <c r="L465" s="8" t="n"/>
      <c r="M465" s="9" t="n"/>
      <c r="N465" s="8" t="n"/>
      <c r="O465" s="9" t="n"/>
      <c r="P465" s="12">
        <f>IF(C465="","",C465-SUM(K465,M465,O465))</f>
        <v/>
      </c>
      <c r="Q465" s="13">
        <f>IF(A465="","",IF(P465&lt;=0,"eingelöst",IF(AND(I465&lt;&gt;"",TODAY()&gt;I465),"abgelaufen",IF(P465&lt;C465,"teilweise","offen"))))</f>
        <v/>
      </c>
    </row>
    <row r="466">
      <c r="A466" s="7" t="n"/>
      <c r="B466" s="8" t="n"/>
      <c r="C466" s="9" t="n"/>
      <c r="D466" s="10" t="n"/>
      <c r="E466" s="10" t="n"/>
      <c r="F466" s="10" t="n"/>
      <c r="G466" s="10" t="n"/>
      <c r="H466" s="10" t="n"/>
      <c r="I466" s="11">
        <f>IF(B466="","",DATE(YEAR(B466)+3,12,31))</f>
        <v/>
      </c>
      <c r="J466" s="8" t="n"/>
      <c r="K466" s="9" t="n"/>
      <c r="L466" s="8" t="n"/>
      <c r="M466" s="9" t="n"/>
      <c r="N466" s="8" t="n"/>
      <c r="O466" s="9" t="n"/>
      <c r="P466" s="12">
        <f>IF(C466="","",C466-SUM(K466,M466,O466))</f>
        <v/>
      </c>
      <c r="Q466" s="13">
        <f>IF(A466="","",IF(P466&lt;=0,"eingelöst",IF(AND(I466&lt;&gt;"",TODAY()&gt;I466),"abgelaufen",IF(P466&lt;C466,"teilweise","offen"))))</f>
        <v/>
      </c>
    </row>
    <row r="467">
      <c r="A467" s="7" t="n"/>
      <c r="B467" s="8" t="n"/>
      <c r="C467" s="9" t="n"/>
      <c r="D467" s="10" t="n"/>
      <c r="E467" s="10" t="n"/>
      <c r="F467" s="10" t="n"/>
      <c r="G467" s="10" t="n"/>
      <c r="H467" s="10" t="n"/>
      <c r="I467" s="11">
        <f>IF(B467="","",DATE(YEAR(B467)+3,12,31))</f>
        <v/>
      </c>
      <c r="J467" s="8" t="n"/>
      <c r="K467" s="9" t="n"/>
      <c r="L467" s="8" t="n"/>
      <c r="M467" s="9" t="n"/>
      <c r="N467" s="8" t="n"/>
      <c r="O467" s="9" t="n"/>
      <c r="P467" s="12">
        <f>IF(C467="","",C467-SUM(K467,M467,O467))</f>
        <v/>
      </c>
      <c r="Q467" s="13">
        <f>IF(A467="","",IF(P467&lt;=0,"eingelöst",IF(AND(I467&lt;&gt;"",TODAY()&gt;I467),"abgelaufen",IF(P467&lt;C467,"teilweise","offen"))))</f>
        <v/>
      </c>
    </row>
    <row r="468">
      <c r="A468" s="7" t="n"/>
      <c r="B468" s="8" t="n"/>
      <c r="C468" s="9" t="n"/>
      <c r="D468" s="10" t="n"/>
      <c r="E468" s="10" t="n"/>
      <c r="F468" s="10" t="n"/>
      <c r="G468" s="10" t="n"/>
      <c r="H468" s="10" t="n"/>
      <c r="I468" s="11">
        <f>IF(B468="","",DATE(YEAR(B468)+3,12,31))</f>
        <v/>
      </c>
      <c r="J468" s="8" t="n"/>
      <c r="K468" s="9" t="n"/>
      <c r="L468" s="8" t="n"/>
      <c r="M468" s="9" t="n"/>
      <c r="N468" s="8" t="n"/>
      <c r="O468" s="9" t="n"/>
      <c r="P468" s="12">
        <f>IF(C468="","",C468-SUM(K468,M468,O468))</f>
        <v/>
      </c>
      <c r="Q468" s="13">
        <f>IF(A468="","",IF(P468&lt;=0,"eingelöst",IF(AND(I468&lt;&gt;"",TODAY()&gt;I468),"abgelaufen",IF(P468&lt;C468,"teilweise","offen"))))</f>
        <v/>
      </c>
    </row>
    <row r="469">
      <c r="A469" s="7" t="n"/>
      <c r="B469" s="8" t="n"/>
      <c r="C469" s="9" t="n"/>
      <c r="D469" s="10" t="n"/>
      <c r="E469" s="10" t="n"/>
      <c r="F469" s="10" t="n"/>
      <c r="G469" s="10" t="n"/>
      <c r="H469" s="10" t="n"/>
      <c r="I469" s="11">
        <f>IF(B469="","",DATE(YEAR(B469)+3,12,31))</f>
        <v/>
      </c>
      <c r="J469" s="8" t="n"/>
      <c r="K469" s="9" t="n"/>
      <c r="L469" s="8" t="n"/>
      <c r="M469" s="9" t="n"/>
      <c r="N469" s="8" t="n"/>
      <c r="O469" s="9" t="n"/>
      <c r="P469" s="12">
        <f>IF(C469="","",C469-SUM(K469,M469,O469))</f>
        <v/>
      </c>
      <c r="Q469" s="13">
        <f>IF(A469="","",IF(P469&lt;=0,"eingelöst",IF(AND(I469&lt;&gt;"",TODAY()&gt;I469),"abgelaufen",IF(P469&lt;C469,"teilweise","offen"))))</f>
        <v/>
      </c>
    </row>
    <row r="470">
      <c r="A470" s="7" t="n"/>
      <c r="B470" s="8" t="n"/>
      <c r="C470" s="9" t="n"/>
      <c r="D470" s="10" t="n"/>
      <c r="E470" s="10" t="n"/>
      <c r="F470" s="10" t="n"/>
      <c r="G470" s="10" t="n"/>
      <c r="H470" s="10" t="n"/>
      <c r="I470" s="11">
        <f>IF(B470="","",DATE(YEAR(B470)+3,12,31))</f>
        <v/>
      </c>
      <c r="J470" s="8" t="n"/>
      <c r="K470" s="9" t="n"/>
      <c r="L470" s="8" t="n"/>
      <c r="M470" s="9" t="n"/>
      <c r="N470" s="8" t="n"/>
      <c r="O470" s="9" t="n"/>
      <c r="P470" s="12">
        <f>IF(C470="","",C470-SUM(K470,M470,O470))</f>
        <v/>
      </c>
      <c r="Q470" s="13">
        <f>IF(A470="","",IF(P470&lt;=0,"eingelöst",IF(AND(I470&lt;&gt;"",TODAY()&gt;I470),"abgelaufen",IF(P470&lt;C470,"teilweise","offen"))))</f>
        <v/>
      </c>
    </row>
    <row r="471">
      <c r="A471" s="7" t="n"/>
      <c r="B471" s="8" t="n"/>
      <c r="C471" s="9" t="n"/>
      <c r="D471" s="10" t="n"/>
      <c r="E471" s="10" t="n"/>
      <c r="F471" s="10" t="n"/>
      <c r="G471" s="10" t="n"/>
      <c r="H471" s="10" t="n"/>
      <c r="I471" s="11">
        <f>IF(B471="","",DATE(YEAR(B471)+3,12,31))</f>
        <v/>
      </c>
      <c r="J471" s="8" t="n"/>
      <c r="K471" s="9" t="n"/>
      <c r="L471" s="8" t="n"/>
      <c r="M471" s="9" t="n"/>
      <c r="N471" s="8" t="n"/>
      <c r="O471" s="9" t="n"/>
      <c r="P471" s="12">
        <f>IF(C471="","",C471-SUM(K471,M471,O471))</f>
        <v/>
      </c>
      <c r="Q471" s="13">
        <f>IF(A471="","",IF(P471&lt;=0,"eingelöst",IF(AND(I471&lt;&gt;"",TODAY()&gt;I471),"abgelaufen",IF(P471&lt;C471,"teilweise","offen"))))</f>
        <v/>
      </c>
    </row>
    <row r="472">
      <c r="A472" s="7" t="n"/>
      <c r="B472" s="8" t="n"/>
      <c r="C472" s="9" t="n"/>
      <c r="D472" s="10" t="n"/>
      <c r="E472" s="10" t="n"/>
      <c r="F472" s="10" t="n"/>
      <c r="G472" s="10" t="n"/>
      <c r="H472" s="10" t="n"/>
      <c r="I472" s="11">
        <f>IF(B472="","",DATE(YEAR(B472)+3,12,31))</f>
        <v/>
      </c>
      <c r="J472" s="8" t="n"/>
      <c r="K472" s="9" t="n"/>
      <c r="L472" s="8" t="n"/>
      <c r="M472" s="9" t="n"/>
      <c r="N472" s="8" t="n"/>
      <c r="O472" s="9" t="n"/>
      <c r="P472" s="12">
        <f>IF(C472="","",C472-SUM(K472,M472,O472))</f>
        <v/>
      </c>
      <c r="Q472" s="13">
        <f>IF(A472="","",IF(P472&lt;=0,"eingelöst",IF(AND(I472&lt;&gt;"",TODAY()&gt;I472),"abgelaufen",IF(P472&lt;C472,"teilweise","offen"))))</f>
        <v/>
      </c>
    </row>
    <row r="473">
      <c r="A473" s="7" t="n"/>
      <c r="B473" s="8" t="n"/>
      <c r="C473" s="9" t="n"/>
      <c r="D473" s="10" t="n"/>
      <c r="E473" s="10" t="n"/>
      <c r="F473" s="10" t="n"/>
      <c r="G473" s="10" t="n"/>
      <c r="H473" s="10" t="n"/>
      <c r="I473" s="11">
        <f>IF(B473="","",DATE(YEAR(B473)+3,12,31))</f>
        <v/>
      </c>
      <c r="J473" s="8" t="n"/>
      <c r="K473" s="9" t="n"/>
      <c r="L473" s="8" t="n"/>
      <c r="M473" s="9" t="n"/>
      <c r="N473" s="8" t="n"/>
      <c r="O473" s="9" t="n"/>
      <c r="P473" s="12">
        <f>IF(C473="","",C473-SUM(K473,M473,O473))</f>
        <v/>
      </c>
      <c r="Q473" s="13">
        <f>IF(A473="","",IF(P473&lt;=0,"eingelöst",IF(AND(I473&lt;&gt;"",TODAY()&gt;I473),"abgelaufen",IF(P473&lt;C473,"teilweise","offen"))))</f>
        <v/>
      </c>
    </row>
    <row r="474">
      <c r="A474" s="7" t="n"/>
      <c r="B474" s="8" t="n"/>
      <c r="C474" s="9" t="n"/>
      <c r="D474" s="10" t="n"/>
      <c r="E474" s="10" t="n"/>
      <c r="F474" s="10" t="n"/>
      <c r="G474" s="10" t="n"/>
      <c r="H474" s="10" t="n"/>
      <c r="I474" s="11">
        <f>IF(B474="","",DATE(YEAR(B474)+3,12,31))</f>
        <v/>
      </c>
      <c r="J474" s="8" t="n"/>
      <c r="K474" s="9" t="n"/>
      <c r="L474" s="8" t="n"/>
      <c r="M474" s="9" t="n"/>
      <c r="N474" s="8" t="n"/>
      <c r="O474" s="9" t="n"/>
      <c r="P474" s="12">
        <f>IF(C474="","",C474-SUM(K474,M474,O474))</f>
        <v/>
      </c>
      <c r="Q474" s="13">
        <f>IF(A474="","",IF(P474&lt;=0,"eingelöst",IF(AND(I474&lt;&gt;"",TODAY()&gt;I474),"abgelaufen",IF(P474&lt;C474,"teilweise","offen"))))</f>
        <v/>
      </c>
    </row>
    <row r="475">
      <c r="A475" s="7" t="n"/>
      <c r="B475" s="8" t="n"/>
      <c r="C475" s="9" t="n"/>
      <c r="D475" s="10" t="n"/>
      <c r="E475" s="10" t="n"/>
      <c r="F475" s="10" t="n"/>
      <c r="G475" s="10" t="n"/>
      <c r="H475" s="10" t="n"/>
      <c r="I475" s="11">
        <f>IF(B475="","",DATE(YEAR(B475)+3,12,31))</f>
        <v/>
      </c>
      <c r="J475" s="8" t="n"/>
      <c r="K475" s="9" t="n"/>
      <c r="L475" s="8" t="n"/>
      <c r="M475" s="9" t="n"/>
      <c r="N475" s="8" t="n"/>
      <c r="O475" s="9" t="n"/>
      <c r="P475" s="12">
        <f>IF(C475="","",C475-SUM(K475,M475,O475))</f>
        <v/>
      </c>
      <c r="Q475" s="13">
        <f>IF(A475="","",IF(P475&lt;=0,"eingelöst",IF(AND(I475&lt;&gt;"",TODAY()&gt;I475),"abgelaufen",IF(P475&lt;C475,"teilweise","offen"))))</f>
        <v/>
      </c>
    </row>
    <row r="476">
      <c r="A476" s="7" t="n"/>
      <c r="B476" s="8" t="n"/>
      <c r="C476" s="9" t="n"/>
      <c r="D476" s="10" t="n"/>
      <c r="E476" s="10" t="n"/>
      <c r="F476" s="10" t="n"/>
      <c r="G476" s="10" t="n"/>
      <c r="H476" s="10" t="n"/>
      <c r="I476" s="11">
        <f>IF(B476="","",DATE(YEAR(B476)+3,12,31))</f>
        <v/>
      </c>
      <c r="J476" s="8" t="n"/>
      <c r="K476" s="9" t="n"/>
      <c r="L476" s="8" t="n"/>
      <c r="M476" s="9" t="n"/>
      <c r="N476" s="8" t="n"/>
      <c r="O476" s="9" t="n"/>
      <c r="P476" s="12">
        <f>IF(C476="","",C476-SUM(K476,M476,O476))</f>
        <v/>
      </c>
      <c r="Q476" s="13">
        <f>IF(A476="","",IF(P476&lt;=0,"eingelöst",IF(AND(I476&lt;&gt;"",TODAY()&gt;I476),"abgelaufen",IF(P476&lt;C476,"teilweise","offen"))))</f>
        <v/>
      </c>
    </row>
    <row r="477">
      <c r="A477" s="7" t="n"/>
      <c r="B477" s="8" t="n"/>
      <c r="C477" s="9" t="n"/>
      <c r="D477" s="10" t="n"/>
      <c r="E477" s="10" t="n"/>
      <c r="F477" s="10" t="n"/>
      <c r="G477" s="10" t="n"/>
      <c r="H477" s="10" t="n"/>
      <c r="I477" s="11">
        <f>IF(B477="","",DATE(YEAR(B477)+3,12,31))</f>
        <v/>
      </c>
      <c r="J477" s="8" t="n"/>
      <c r="K477" s="9" t="n"/>
      <c r="L477" s="8" t="n"/>
      <c r="M477" s="9" t="n"/>
      <c r="N477" s="8" t="n"/>
      <c r="O477" s="9" t="n"/>
      <c r="P477" s="12">
        <f>IF(C477="","",C477-SUM(K477,M477,O477))</f>
        <v/>
      </c>
      <c r="Q477" s="13">
        <f>IF(A477="","",IF(P477&lt;=0,"eingelöst",IF(AND(I477&lt;&gt;"",TODAY()&gt;I477),"abgelaufen",IF(P477&lt;C477,"teilweise","offen"))))</f>
        <v/>
      </c>
    </row>
    <row r="478">
      <c r="A478" s="7" t="n"/>
      <c r="B478" s="8" t="n"/>
      <c r="C478" s="9" t="n"/>
      <c r="D478" s="10" t="n"/>
      <c r="E478" s="10" t="n"/>
      <c r="F478" s="10" t="n"/>
      <c r="G478" s="10" t="n"/>
      <c r="H478" s="10" t="n"/>
      <c r="I478" s="11">
        <f>IF(B478="","",DATE(YEAR(B478)+3,12,31))</f>
        <v/>
      </c>
      <c r="J478" s="8" t="n"/>
      <c r="K478" s="9" t="n"/>
      <c r="L478" s="8" t="n"/>
      <c r="M478" s="9" t="n"/>
      <c r="N478" s="8" t="n"/>
      <c r="O478" s="9" t="n"/>
      <c r="P478" s="12">
        <f>IF(C478="","",C478-SUM(K478,M478,O478))</f>
        <v/>
      </c>
      <c r="Q478" s="13">
        <f>IF(A478="","",IF(P478&lt;=0,"eingelöst",IF(AND(I478&lt;&gt;"",TODAY()&gt;I478),"abgelaufen",IF(P478&lt;C478,"teilweise","offen"))))</f>
        <v/>
      </c>
    </row>
    <row r="479">
      <c r="A479" s="7" t="n"/>
      <c r="B479" s="8" t="n"/>
      <c r="C479" s="9" t="n"/>
      <c r="D479" s="10" t="n"/>
      <c r="E479" s="10" t="n"/>
      <c r="F479" s="10" t="n"/>
      <c r="G479" s="10" t="n"/>
      <c r="H479" s="10" t="n"/>
      <c r="I479" s="11">
        <f>IF(B479="","",DATE(YEAR(B479)+3,12,31))</f>
        <v/>
      </c>
      <c r="J479" s="8" t="n"/>
      <c r="K479" s="9" t="n"/>
      <c r="L479" s="8" t="n"/>
      <c r="M479" s="9" t="n"/>
      <c r="N479" s="8" t="n"/>
      <c r="O479" s="9" t="n"/>
      <c r="P479" s="12">
        <f>IF(C479="","",C479-SUM(K479,M479,O479))</f>
        <v/>
      </c>
      <c r="Q479" s="13">
        <f>IF(A479="","",IF(P479&lt;=0,"eingelöst",IF(AND(I479&lt;&gt;"",TODAY()&gt;I479),"abgelaufen",IF(P479&lt;C479,"teilweise","offen"))))</f>
        <v/>
      </c>
    </row>
    <row r="480">
      <c r="A480" s="7" t="n"/>
      <c r="B480" s="8" t="n"/>
      <c r="C480" s="9" t="n"/>
      <c r="D480" s="10" t="n"/>
      <c r="E480" s="10" t="n"/>
      <c r="F480" s="10" t="n"/>
      <c r="G480" s="10" t="n"/>
      <c r="H480" s="10" t="n"/>
      <c r="I480" s="11">
        <f>IF(B480="","",DATE(YEAR(B480)+3,12,31))</f>
        <v/>
      </c>
      <c r="J480" s="8" t="n"/>
      <c r="K480" s="9" t="n"/>
      <c r="L480" s="8" t="n"/>
      <c r="M480" s="9" t="n"/>
      <c r="N480" s="8" t="n"/>
      <c r="O480" s="9" t="n"/>
      <c r="P480" s="12">
        <f>IF(C480="","",C480-SUM(K480,M480,O480))</f>
        <v/>
      </c>
      <c r="Q480" s="13">
        <f>IF(A480="","",IF(P480&lt;=0,"eingelöst",IF(AND(I480&lt;&gt;"",TODAY()&gt;I480),"abgelaufen",IF(P480&lt;C480,"teilweise","offen"))))</f>
        <v/>
      </c>
    </row>
    <row r="481">
      <c r="A481" s="7" t="n"/>
      <c r="B481" s="8" t="n"/>
      <c r="C481" s="9" t="n"/>
      <c r="D481" s="10" t="n"/>
      <c r="E481" s="10" t="n"/>
      <c r="F481" s="10" t="n"/>
      <c r="G481" s="10" t="n"/>
      <c r="H481" s="10" t="n"/>
      <c r="I481" s="11">
        <f>IF(B481="","",DATE(YEAR(B481)+3,12,31))</f>
        <v/>
      </c>
      <c r="J481" s="8" t="n"/>
      <c r="K481" s="9" t="n"/>
      <c r="L481" s="8" t="n"/>
      <c r="M481" s="9" t="n"/>
      <c r="N481" s="8" t="n"/>
      <c r="O481" s="9" t="n"/>
      <c r="P481" s="12">
        <f>IF(C481="","",C481-SUM(K481,M481,O481))</f>
        <v/>
      </c>
      <c r="Q481" s="13">
        <f>IF(A481="","",IF(P481&lt;=0,"eingelöst",IF(AND(I481&lt;&gt;"",TODAY()&gt;I481),"abgelaufen",IF(P481&lt;C481,"teilweise","offen"))))</f>
        <v/>
      </c>
    </row>
    <row r="482">
      <c r="A482" s="7" t="n"/>
      <c r="B482" s="8" t="n"/>
      <c r="C482" s="9" t="n"/>
      <c r="D482" s="10" t="n"/>
      <c r="E482" s="10" t="n"/>
      <c r="F482" s="10" t="n"/>
      <c r="G482" s="10" t="n"/>
      <c r="H482" s="10" t="n"/>
      <c r="I482" s="11">
        <f>IF(B482="","",DATE(YEAR(B482)+3,12,31))</f>
        <v/>
      </c>
      <c r="J482" s="8" t="n"/>
      <c r="K482" s="9" t="n"/>
      <c r="L482" s="8" t="n"/>
      <c r="M482" s="9" t="n"/>
      <c r="N482" s="8" t="n"/>
      <c r="O482" s="9" t="n"/>
      <c r="P482" s="12">
        <f>IF(C482="","",C482-SUM(K482,M482,O482))</f>
        <v/>
      </c>
      <c r="Q482" s="13">
        <f>IF(A482="","",IF(P482&lt;=0,"eingelöst",IF(AND(I482&lt;&gt;"",TODAY()&gt;I482),"abgelaufen",IF(P482&lt;C482,"teilweise","offen"))))</f>
        <v/>
      </c>
    </row>
    <row r="483">
      <c r="A483" s="7" t="n"/>
      <c r="B483" s="8" t="n"/>
      <c r="C483" s="9" t="n"/>
      <c r="D483" s="10" t="n"/>
      <c r="E483" s="10" t="n"/>
      <c r="F483" s="10" t="n"/>
      <c r="G483" s="10" t="n"/>
      <c r="H483" s="10" t="n"/>
      <c r="I483" s="11">
        <f>IF(B483="","",DATE(YEAR(B483)+3,12,31))</f>
        <v/>
      </c>
      <c r="J483" s="8" t="n"/>
      <c r="K483" s="9" t="n"/>
      <c r="L483" s="8" t="n"/>
      <c r="M483" s="9" t="n"/>
      <c r="N483" s="8" t="n"/>
      <c r="O483" s="9" t="n"/>
      <c r="P483" s="12">
        <f>IF(C483="","",C483-SUM(K483,M483,O483))</f>
        <v/>
      </c>
      <c r="Q483" s="13">
        <f>IF(A483="","",IF(P483&lt;=0,"eingelöst",IF(AND(I483&lt;&gt;"",TODAY()&gt;I483),"abgelaufen",IF(P483&lt;C483,"teilweise","offen"))))</f>
        <v/>
      </c>
    </row>
    <row r="484">
      <c r="A484" s="7" t="n"/>
      <c r="B484" s="8" t="n"/>
      <c r="C484" s="9" t="n"/>
      <c r="D484" s="10" t="n"/>
      <c r="E484" s="10" t="n"/>
      <c r="F484" s="10" t="n"/>
      <c r="G484" s="10" t="n"/>
      <c r="H484" s="10" t="n"/>
      <c r="I484" s="11">
        <f>IF(B484="","",DATE(YEAR(B484)+3,12,31))</f>
        <v/>
      </c>
      <c r="J484" s="8" t="n"/>
      <c r="K484" s="9" t="n"/>
      <c r="L484" s="8" t="n"/>
      <c r="M484" s="9" t="n"/>
      <c r="N484" s="8" t="n"/>
      <c r="O484" s="9" t="n"/>
      <c r="P484" s="12">
        <f>IF(C484="","",C484-SUM(K484,M484,O484))</f>
        <v/>
      </c>
      <c r="Q484" s="13">
        <f>IF(A484="","",IF(P484&lt;=0,"eingelöst",IF(AND(I484&lt;&gt;"",TODAY()&gt;I484),"abgelaufen",IF(P484&lt;C484,"teilweise","offen"))))</f>
        <v/>
      </c>
    </row>
    <row r="485">
      <c r="A485" s="7" t="n"/>
      <c r="B485" s="8" t="n"/>
      <c r="C485" s="9" t="n"/>
      <c r="D485" s="10" t="n"/>
      <c r="E485" s="10" t="n"/>
      <c r="F485" s="10" t="n"/>
      <c r="G485" s="10" t="n"/>
      <c r="H485" s="10" t="n"/>
      <c r="I485" s="11">
        <f>IF(B485="","",DATE(YEAR(B485)+3,12,31))</f>
        <v/>
      </c>
      <c r="J485" s="8" t="n"/>
      <c r="K485" s="9" t="n"/>
      <c r="L485" s="8" t="n"/>
      <c r="M485" s="9" t="n"/>
      <c r="N485" s="8" t="n"/>
      <c r="O485" s="9" t="n"/>
      <c r="P485" s="12">
        <f>IF(C485="","",C485-SUM(K485,M485,O485))</f>
        <v/>
      </c>
      <c r="Q485" s="13">
        <f>IF(A485="","",IF(P485&lt;=0,"eingelöst",IF(AND(I485&lt;&gt;"",TODAY()&gt;I485),"abgelaufen",IF(P485&lt;C485,"teilweise","offen"))))</f>
        <v/>
      </c>
    </row>
    <row r="486">
      <c r="A486" s="7" t="n"/>
      <c r="B486" s="8" t="n"/>
      <c r="C486" s="9" t="n"/>
      <c r="D486" s="10" t="n"/>
      <c r="E486" s="10" t="n"/>
      <c r="F486" s="10" t="n"/>
      <c r="G486" s="10" t="n"/>
      <c r="H486" s="10" t="n"/>
      <c r="I486" s="11">
        <f>IF(B486="","",DATE(YEAR(B486)+3,12,31))</f>
        <v/>
      </c>
      <c r="J486" s="8" t="n"/>
      <c r="K486" s="9" t="n"/>
      <c r="L486" s="8" t="n"/>
      <c r="M486" s="9" t="n"/>
      <c r="N486" s="8" t="n"/>
      <c r="O486" s="9" t="n"/>
      <c r="P486" s="12">
        <f>IF(C486="","",C486-SUM(K486,M486,O486))</f>
        <v/>
      </c>
      <c r="Q486" s="13">
        <f>IF(A486="","",IF(P486&lt;=0,"eingelöst",IF(AND(I486&lt;&gt;"",TODAY()&gt;I486),"abgelaufen",IF(P486&lt;C486,"teilweise","offen"))))</f>
        <v/>
      </c>
    </row>
    <row r="487">
      <c r="A487" s="7" t="n"/>
      <c r="B487" s="8" t="n"/>
      <c r="C487" s="9" t="n"/>
      <c r="D487" s="10" t="n"/>
      <c r="E487" s="10" t="n"/>
      <c r="F487" s="10" t="n"/>
      <c r="G487" s="10" t="n"/>
      <c r="H487" s="10" t="n"/>
      <c r="I487" s="11">
        <f>IF(B487="","",DATE(YEAR(B487)+3,12,31))</f>
        <v/>
      </c>
      <c r="J487" s="8" t="n"/>
      <c r="K487" s="9" t="n"/>
      <c r="L487" s="8" t="n"/>
      <c r="M487" s="9" t="n"/>
      <c r="N487" s="8" t="n"/>
      <c r="O487" s="9" t="n"/>
      <c r="P487" s="12">
        <f>IF(C487="","",C487-SUM(K487,M487,O487))</f>
        <v/>
      </c>
      <c r="Q487" s="13">
        <f>IF(A487="","",IF(P487&lt;=0,"eingelöst",IF(AND(I487&lt;&gt;"",TODAY()&gt;I487),"abgelaufen",IF(P487&lt;C487,"teilweise","offen"))))</f>
        <v/>
      </c>
    </row>
    <row r="488">
      <c r="A488" s="7" t="n"/>
      <c r="B488" s="8" t="n"/>
      <c r="C488" s="9" t="n"/>
      <c r="D488" s="10" t="n"/>
      <c r="E488" s="10" t="n"/>
      <c r="F488" s="10" t="n"/>
      <c r="G488" s="10" t="n"/>
      <c r="H488" s="10" t="n"/>
      <c r="I488" s="11">
        <f>IF(B488="","",DATE(YEAR(B488)+3,12,31))</f>
        <v/>
      </c>
      <c r="J488" s="8" t="n"/>
      <c r="K488" s="9" t="n"/>
      <c r="L488" s="8" t="n"/>
      <c r="M488" s="9" t="n"/>
      <c r="N488" s="8" t="n"/>
      <c r="O488" s="9" t="n"/>
      <c r="P488" s="12">
        <f>IF(C488="","",C488-SUM(K488,M488,O488))</f>
        <v/>
      </c>
      <c r="Q488" s="13">
        <f>IF(A488="","",IF(P488&lt;=0,"eingelöst",IF(AND(I488&lt;&gt;"",TODAY()&gt;I488),"abgelaufen",IF(P488&lt;C488,"teilweise","offen"))))</f>
        <v/>
      </c>
    </row>
    <row r="489">
      <c r="A489" s="7" t="n"/>
      <c r="B489" s="8" t="n"/>
      <c r="C489" s="9" t="n"/>
      <c r="D489" s="10" t="n"/>
      <c r="E489" s="10" t="n"/>
      <c r="F489" s="10" t="n"/>
      <c r="G489" s="10" t="n"/>
      <c r="H489" s="10" t="n"/>
      <c r="I489" s="11">
        <f>IF(B489="","",DATE(YEAR(B489)+3,12,31))</f>
        <v/>
      </c>
      <c r="J489" s="8" t="n"/>
      <c r="K489" s="9" t="n"/>
      <c r="L489" s="8" t="n"/>
      <c r="M489" s="9" t="n"/>
      <c r="N489" s="8" t="n"/>
      <c r="O489" s="9" t="n"/>
      <c r="P489" s="12">
        <f>IF(C489="","",C489-SUM(K489,M489,O489))</f>
        <v/>
      </c>
      <c r="Q489" s="13">
        <f>IF(A489="","",IF(P489&lt;=0,"eingelöst",IF(AND(I489&lt;&gt;"",TODAY()&gt;I489),"abgelaufen",IF(P489&lt;C489,"teilweise","offen"))))</f>
        <v/>
      </c>
    </row>
    <row r="490">
      <c r="A490" s="7" t="n"/>
      <c r="B490" s="8" t="n"/>
      <c r="C490" s="9" t="n"/>
      <c r="D490" s="10" t="n"/>
      <c r="E490" s="10" t="n"/>
      <c r="F490" s="10" t="n"/>
      <c r="G490" s="10" t="n"/>
      <c r="H490" s="10" t="n"/>
      <c r="I490" s="11">
        <f>IF(B490="","",DATE(YEAR(B490)+3,12,31))</f>
        <v/>
      </c>
      <c r="J490" s="8" t="n"/>
      <c r="K490" s="9" t="n"/>
      <c r="L490" s="8" t="n"/>
      <c r="M490" s="9" t="n"/>
      <c r="N490" s="8" t="n"/>
      <c r="O490" s="9" t="n"/>
      <c r="P490" s="12">
        <f>IF(C490="","",C490-SUM(K490,M490,O490))</f>
        <v/>
      </c>
      <c r="Q490" s="13">
        <f>IF(A490="","",IF(P490&lt;=0,"eingelöst",IF(AND(I490&lt;&gt;"",TODAY()&gt;I490),"abgelaufen",IF(P490&lt;C490,"teilweise","offen"))))</f>
        <v/>
      </c>
    </row>
    <row r="491">
      <c r="A491" s="7" t="n"/>
      <c r="B491" s="8" t="n"/>
      <c r="C491" s="9" t="n"/>
      <c r="D491" s="10" t="n"/>
      <c r="E491" s="10" t="n"/>
      <c r="F491" s="10" t="n"/>
      <c r="G491" s="10" t="n"/>
      <c r="H491" s="10" t="n"/>
      <c r="I491" s="11">
        <f>IF(B491="","",DATE(YEAR(B491)+3,12,31))</f>
        <v/>
      </c>
      <c r="J491" s="8" t="n"/>
      <c r="K491" s="9" t="n"/>
      <c r="L491" s="8" t="n"/>
      <c r="M491" s="9" t="n"/>
      <c r="N491" s="8" t="n"/>
      <c r="O491" s="9" t="n"/>
      <c r="P491" s="12">
        <f>IF(C491="","",C491-SUM(K491,M491,O491))</f>
        <v/>
      </c>
      <c r="Q491" s="13">
        <f>IF(A491="","",IF(P491&lt;=0,"eingelöst",IF(AND(I491&lt;&gt;"",TODAY()&gt;I491),"abgelaufen",IF(P491&lt;C491,"teilweise","offen"))))</f>
        <v/>
      </c>
    </row>
    <row r="492">
      <c r="A492" s="7" t="n"/>
      <c r="B492" s="8" t="n"/>
      <c r="C492" s="9" t="n"/>
      <c r="D492" s="10" t="n"/>
      <c r="E492" s="10" t="n"/>
      <c r="F492" s="10" t="n"/>
      <c r="G492" s="10" t="n"/>
      <c r="H492" s="10" t="n"/>
      <c r="I492" s="11">
        <f>IF(B492="","",DATE(YEAR(B492)+3,12,31))</f>
        <v/>
      </c>
      <c r="J492" s="8" t="n"/>
      <c r="K492" s="9" t="n"/>
      <c r="L492" s="8" t="n"/>
      <c r="M492" s="9" t="n"/>
      <c r="N492" s="8" t="n"/>
      <c r="O492" s="9" t="n"/>
      <c r="P492" s="12">
        <f>IF(C492="","",C492-SUM(K492,M492,O492))</f>
        <v/>
      </c>
      <c r="Q492" s="13">
        <f>IF(A492="","",IF(P492&lt;=0,"eingelöst",IF(AND(I492&lt;&gt;"",TODAY()&gt;I492),"abgelaufen",IF(P492&lt;C492,"teilweise","offen"))))</f>
        <v/>
      </c>
    </row>
    <row r="493">
      <c r="A493" s="7" t="n"/>
      <c r="B493" s="8" t="n"/>
      <c r="C493" s="9" t="n"/>
      <c r="D493" s="10" t="n"/>
      <c r="E493" s="10" t="n"/>
      <c r="F493" s="10" t="n"/>
      <c r="G493" s="10" t="n"/>
      <c r="H493" s="10" t="n"/>
      <c r="I493" s="11">
        <f>IF(B493="","",DATE(YEAR(B493)+3,12,31))</f>
        <v/>
      </c>
      <c r="J493" s="8" t="n"/>
      <c r="K493" s="9" t="n"/>
      <c r="L493" s="8" t="n"/>
      <c r="M493" s="9" t="n"/>
      <c r="N493" s="8" t="n"/>
      <c r="O493" s="9" t="n"/>
      <c r="P493" s="12">
        <f>IF(C493="","",C493-SUM(K493,M493,O493))</f>
        <v/>
      </c>
      <c r="Q493" s="13">
        <f>IF(A493="","",IF(P493&lt;=0,"eingelöst",IF(AND(I493&lt;&gt;"",TODAY()&gt;I493),"abgelaufen",IF(P493&lt;C493,"teilweise","offen"))))</f>
        <v/>
      </c>
    </row>
    <row r="494">
      <c r="A494" s="7" t="n"/>
      <c r="B494" s="8" t="n"/>
      <c r="C494" s="9" t="n"/>
      <c r="D494" s="10" t="n"/>
      <c r="E494" s="10" t="n"/>
      <c r="F494" s="10" t="n"/>
      <c r="G494" s="10" t="n"/>
      <c r="H494" s="10" t="n"/>
      <c r="I494" s="11">
        <f>IF(B494="","",DATE(YEAR(B494)+3,12,31))</f>
        <v/>
      </c>
      <c r="J494" s="8" t="n"/>
      <c r="K494" s="9" t="n"/>
      <c r="L494" s="8" t="n"/>
      <c r="M494" s="9" t="n"/>
      <c r="N494" s="8" t="n"/>
      <c r="O494" s="9" t="n"/>
      <c r="P494" s="12">
        <f>IF(C494="","",C494-SUM(K494,M494,O494))</f>
        <v/>
      </c>
      <c r="Q494" s="13">
        <f>IF(A494="","",IF(P494&lt;=0,"eingelöst",IF(AND(I494&lt;&gt;"",TODAY()&gt;I494),"abgelaufen",IF(P494&lt;C494,"teilweise","offen"))))</f>
        <v/>
      </c>
    </row>
    <row r="495">
      <c r="A495" s="7" t="n"/>
      <c r="B495" s="8" t="n"/>
      <c r="C495" s="9" t="n"/>
      <c r="D495" s="10" t="n"/>
      <c r="E495" s="10" t="n"/>
      <c r="F495" s="10" t="n"/>
      <c r="G495" s="10" t="n"/>
      <c r="H495" s="10" t="n"/>
      <c r="I495" s="11">
        <f>IF(B495="","",DATE(YEAR(B495)+3,12,31))</f>
        <v/>
      </c>
      <c r="J495" s="8" t="n"/>
      <c r="K495" s="9" t="n"/>
      <c r="L495" s="8" t="n"/>
      <c r="M495" s="9" t="n"/>
      <c r="N495" s="8" t="n"/>
      <c r="O495" s="9" t="n"/>
      <c r="P495" s="12">
        <f>IF(C495="","",C495-SUM(K495,M495,O495))</f>
        <v/>
      </c>
      <c r="Q495" s="13">
        <f>IF(A495="","",IF(P495&lt;=0,"eingelöst",IF(AND(I495&lt;&gt;"",TODAY()&gt;I495),"abgelaufen",IF(P495&lt;C495,"teilweise","offen"))))</f>
        <v/>
      </c>
    </row>
    <row r="496">
      <c r="A496" s="7" t="n"/>
      <c r="B496" s="8" t="n"/>
      <c r="C496" s="9" t="n"/>
      <c r="D496" s="10" t="n"/>
      <c r="E496" s="10" t="n"/>
      <c r="F496" s="10" t="n"/>
      <c r="G496" s="10" t="n"/>
      <c r="H496" s="10" t="n"/>
      <c r="I496" s="11">
        <f>IF(B496="","",DATE(YEAR(B496)+3,12,31))</f>
        <v/>
      </c>
      <c r="J496" s="8" t="n"/>
      <c r="K496" s="9" t="n"/>
      <c r="L496" s="8" t="n"/>
      <c r="M496" s="9" t="n"/>
      <c r="N496" s="8" t="n"/>
      <c r="O496" s="9" t="n"/>
      <c r="P496" s="12">
        <f>IF(C496="","",C496-SUM(K496,M496,O496))</f>
        <v/>
      </c>
      <c r="Q496" s="13">
        <f>IF(A496="","",IF(P496&lt;=0,"eingelöst",IF(AND(I496&lt;&gt;"",TODAY()&gt;I496),"abgelaufen",IF(P496&lt;C496,"teilweise","offen"))))</f>
        <v/>
      </c>
    </row>
    <row r="497">
      <c r="A497" s="7" t="n"/>
      <c r="B497" s="8" t="n"/>
      <c r="C497" s="9" t="n"/>
      <c r="D497" s="10" t="n"/>
      <c r="E497" s="10" t="n"/>
      <c r="F497" s="10" t="n"/>
      <c r="G497" s="10" t="n"/>
      <c r="H497" s="10" t="n"/>
      <c r="I497" s="11">
        <f>IF(B497="","",DATE(YEAR(B497)+3,12,31))</f>
        <v/>
      </c>
      <c r="J497" s="8" t="n"/>
      <c r="K497" s="9" t="n"/>
      <c r="L497" s="8" t="n"/>
      <c r="M497" s="9" t="n"/>
      <c r="N497" s="8" t="n"/>
      <c r="O497" s="9" t="n"/>
      <c r="P497" s="12">
        <f>IF(C497="","",C497-SUM(K497,M497,O497))</f>
        <v/>
      </c>
      <c r="Q497" s="13">
        <f>IF(A497="","",IF(P497&lt;=0,"eingelöst",IF(AND(I497&lt;&gt;"",TODAY()&gt;I497),"abgelaufen",IF(P497&lt;C497,"teilweise","offen"))))</f>
        <v/>
      </c>
    </row>
    <row r="498">
      <c r="A498" s="7" t="n"/>
      <c r="B498" s="8" t="n"/>
      <c r="C498" s="9" t="n"/>
      <c r="D498" s="10" t="n"/>
      <c r="E498" s="10" t="n"/>
      <c r="F498" s="10" t="n"/>
      <c r="G498" s="10" t="n"/>
      <c r="H498" s="10" t="n"/>
      <c r="I498" s="11">
        <f>IF(B498="","",DATE(YEAR(B498)+3,12,31))</f>
        <v/>
      </c>
      <c r="J498" s="8" t="n"/>
      <c r="K498" s="9" t="n"/>
      <c r="L498" s="8" t="n"/>
      <c r="M498" s="9" t="n"/>
      <c r="N498" s="8" t="n"/>
      <c r="O498" s="9" t="n"/>
      <c r="P498" s="12">
        <f>IF(C498="","",C498-SUM(K498,M498,O498))</f>
        <v/>
      </c>
      <c r="Q498" s="13">
        <f>IF(A498="","",IF(P498&lt;=0,"eingelöst",IF(AND(I498&lt;&gt;"",TODAY()&gt;I498),"abgelaufen",IF(P498&lt;C498,"teilweise","offen"))))</f>
        <v/>
      </c>
    </row>
    <row r="499">
      <c r="A499" s="7" t="n"/>
      <c r="B499" s="8" t="n"/>
      <c r="C499" s="9" t="n"/>
      <c r="D499" s="10" t="n"/>
      <c r="E499" s="10" t="n"/>
      <c r="F499" s="10" t="n"/>
      <c r="G499" s="10" t="n"/>
      <c r="H499" s="10" t="n"/>
      <c r="I499" s="11">
        <f>IF(B499="","",DATE(YEAR(B499)+3,12,31))</f>
        <v/>
      </c>
      <c r="J499" s="8" t="n"/>
      <c r="K499" s="9" t="n"/>
      <c r="L499" s="8" t="n"/>
      <c r="M499" s="9" t="n"/>
      <c r="N499" s="8" t="n"/>
      <c r="O499" s="9" t="n"/>
      <c r="P499" s="12">
        <f>IF(C499="","",C499-SUM(K499,M499,O499))</f>
        <v/>
      </c>
      <c r="Q499" s="13">
        <f>IF(A499="","",IF(P499&lt;=0,"eingelöst",IF(AND(I499&lt;&gt;"",TODAY()&gt;I499),"abgelaufen",IF(P499&lt;C499,"teilweise","offen"))))</f>
        <v/>
      </c>
    </row>
    <row r="500">
      <c r="A500" s="7" t="n"/>
      <c r="B500" s="8" t="n"/>
      <c r="C500" s="9" t="n"/>
      <c r="D500" s="10" t="n"/>
      <c r="E500" s="10" t="n"/>
      <c r="F500" s="10" t="n"/>
      <c r="G500" s="10" t="n"/>
      <c r="H500" s="10" t="n"/>
      <c r="I500" s="11">
        <f>IF(B500="","",DATE(YEAR(B500)+3,12,31))</f>
        <v/>
      </c>
      <c r="J500" s="8" t="n"/>
      <c r="K500" s="9" t="n"/>
      <c r="L500" s="8" t="n"/>
      <c r="M500" s="9" t="n"/>
      <c r="N500" s="8" t="n"/>
      <c r="O500" s="9" t="n"/>
      <c r="P500" s="12">
        <f>IF(C500="","",C500-SUM(K500,M500,O500))</f>
        <v/>
      </c>
      <c r="Q500" s="13">
        <f>IF(A500="","",IF(P500&lt;=0,"eingelöst",IF(AND(I500&lt;&gt;"",TODAY()&gt;I500),"abgelaufen",IF(P500&lt;C500,"teilweise","offen"))))</f>
        <v/>
      </c>
    </row>
    <row r="501">
      <c r="A501" s="7" t="n"/>
      <c r="B501" s="8" t="n"/>
      <c r="C501" s="9" t="n"/>
      <c r="D501" s="10" t="n"/>
      <c r="E501" s="10" t="n"/>
      <c r="F501" s="10" t="n"/>
      <c r="G501" s="10" t="n"/>
      <c r="H501" s="10" t="n"/>
      <c r="I501" s="11">
        <f>IF(B501="","",DATE(YEAR(B501)+3,12,31))</f>
        <v/>
      </c>
      <c r="J501" s="8" t="n"/>
      <c r="K501" s="9" t="n"/>
      <c r="L501" s="8" t="n"/>
      <c r="M501" s="9" t="n"/>
      <c r="N501" s="8" t="n"/>
      <c r="O501" s="9" t="n"/>
      <c r="P501" s="12">
        <f>IF(C501="","",C501-SUM(K501,M501,O501))</f>
        <v/>
      </c>
      <c r="Q501" s="13">
        <f>IF(A501="","",IF(P501&lt;=0,"eingelöst",IF(AND(I501&lt;&gt;"",TODAY()&gt;I501),"abgelaufen",IF(P501&lt;C501,"teilweise","offen"))))</f>
        <v/>
      </c>
    </row>
    <row r="502">
      <c r="A502" s="7" t="n"/>
      <c r="B502" s="8" t="n"/>
      <c r="C502" s="9" t="n"/>
      <c r="D502" s="10" t="n"/>
      <c r="E502" s="10" t="n"/>
      <c r="F502" s="10" t="n"/>
      <c r="G502" s="10" t="n"/>
      <c r="H502" s="10" t="n"/>
      <c r="I502" s="11">
        <f>IF(B502="","",DATE(YEAR(B502)+3,12,31))</f>
        <v/>
      </c>
      <c r="J502" s="8" t="n"/>
      <c r="K502" s="9" t="n"/>
      <c r="L502" s="8" t="n"/>
      <c r="M502" s="9" t="n"/>
      <c r="N502" s="8" t="n"/>
      <c r="O502" s="9" t="n"/>
      <c r="P502" s="12">
        <f>IF(C502="","",C502-SUM(K502,M502,O502))</f>
        <v/>
      </c>
      <c r="Q502" s="13">
        <f>IF(A502="","",IF(P502&lt;=0,"eingelöst",IF(AND(I502&lt;&gt;"",TODAY()&gt;I502),"abgelaufen",IF(P502&lt;C502,"teilweise","offen"))))</f>
        <v/>
      </c>
    </row>
    <row r="503">
      <c r="A503" s="7" t="n"/>
      <c r="B503" s="8" t="n"/>
      <c r="C503" s="9" t="n"/>
      <c r="D503" s="10" t="n"/>
      <c r="E503" s="10" t="n"/>
      <c r="F503" s="10" t="n"/>
      <c r="G503" s="10" t="n"/>
      <c r="H503" s="10" t="n"/>
      <c r="I503" s="11">
        <f>IF(B503="","",DATE(YEAR(B503)+3,12,31))</f>
        <v/>
      </c>
      <c r="J503" s="8" t="n"/>
      <c r="K503" s="9" t="n"/>
      <c r="L503" s="8" t="n"/>
      <c r="M503" s="9" t="n"/>
      <c r="N503" s="8" t="n"/>
      <c r="O503" s="9" t="n"/>
      <c r="P503" s="12">
        <f>IF(C503="","",C503-SUM(K503,M503,O503))</f>
        <v/>
      </c>
      <c r="Q503" s="13">
        <f>IF(A503="","",IF(P503&lt;=0,"eingelöst",IF(AND(I503&lt;&gt;"",TODAY()&gt;I503),"abgelaufen",IF(P503&lt;C503,"teilweise","offen"))))</f>
        <v/>
      </c>
    </row>
    <row r="504">
      <c r="A504" s="7" t="n"/>
      <c r="B504" s="8" t="n"/>
      <c r="C504" s="9" t="n"/>
      <c r="D504" s="10" t="n"/>
      <c r="E504" s="10" t="n"/>
      <c r="F504" s="10" t="n"/>
      <c r="G504" s="10" t="n"/>
      <c r="H504" s="10" t="n"/>
      <c r="I504" s="11">
        <f>IF(B504="","",DATE(YEAR(B504)+3,12,31))</f>
        <v/>
      </c>
      <c r="J504" s="8" t="n"/>
      <c r="K504" s="9" t="n"/>
      <c r="L504" s="8" t="n"/>
      <c r="M504" s="9" t="n"/>
      <c r="N504" s="8" t="n"/>
      <c r="O504" s="9" t="n"/>
      <c r="P504" s="12">
        <f>IF(C504="","",C504-SUM(K504,M504,O504))</f>
        <v/>
      </c>
      <c r="Q504" s="13">
        <f>IF(A504="","",IF(P504&lt;=0,"eingelöst",IF(AND(I504&lt;&gt;"",TODAY()&gt;I504),"abgelaufen",IF(P504&lt;C504,"teilweise","offen"))))</f>
        <v/>
      </c>
    </row>
    <row r="505">
      <c r="A505" s="7" t="n"/>
      <c r="B505" s="8" t="n"/>
      <c r="C505" s="9" t="n"/>
      <c r="D505" s="10" t="n"/>
      <c r="E505" s="10" t="n"/>
      <c r="F505" s="10" t="n"/>
      <c r="G505" s="10" t="n"/>
      <c r="H505" s="10" t="n"/>
      <c r="I505" s="11">
        <f>IF(B505="","",DATE(YEAR(B505)+3,12,31))</f>
        <v/>
      </c>
      <c r="J505" s="8" t="n"/>
      <c r="K505" s="9" t="n"/>
      <c r="L505" s="8" t="n"/>
      <c r="M505" s="9" t="n"/>
      <c r="N505" s="8" t="n"/>
      <c r="O505" s="9" t="n"/>
      <c r="P505" s="12">
        <f>IF(C505="","",C505-SUM(K505,M505,O505))</f>
        <v/>
      </c>
      <c r="Q505" s="13">
        <f>IF(A505="","",IF(P505&lt;=0,"eingelöst",IF(AND(I505&lt;&gt;"",TODAY()&gt;I505),"abgelaufen",IF(P505&lt;C505,"teilweise","offen"))))</f>
        <v/>
      </c>
    </row>
    <row r="506">
      <c r="A506" s="7" t="n"/>
      <c r="B506" s="8" t="n"/>
      <c r="C506" s="9" t="n"/>
      <c r="D506" s="10" t="n"/>
      <c r="E506" s="10" t="n"/>
      <c r="F506" s="10" t="n"/>
      <c r="G506" s="10" t="n"/>
      <c r="H506" s="10" t="n"/>
      <c r="I506" s="11">
        <f>IF(B506="","",DATE(YEAR(B506)+3,12,31))</f>
        <v/>
      </c>
      <c r="J506" s="8" t="n"/>
      <c r="K506" s="9" t="n"/>
      <c r="L506" s="8" t="n"/>
      <c r="M506" s="9" t="n"/>
      <c r="N506" s="8" t="n"/>
      <c r="O506" s="9" t="n"/>
      <c r="P506" s="12">
        <f>IF(C506="","",C506-SUM(K506,M506,O506))</f>
        <v/>
      </c>
      <c r="Q506" s="13">
        <f>IF(A506="","",IF(P506&lt;=0,"eingelöst",IF(AND(I506&lt;&gt;"",TODAY()&gt;I506),"abgelaufen",IF(P506&lt;C506,"teilweise","offen"))))</f>
        <v/>
      </c>
    </row>
    <row r="507">
      <c r="A507" s="7" t="n"/>
      <c r="B507" s="8" t="n"/>
      <c r="C507" s="9" t="n"/>
      <c r="D507" s="10" t="n"/>
      <c r="E507" s="10" t="n"/>
      <c r="F507" s="10" t="n"/>
      <c r="G507" s="10" t="n"/>
      <c r="H507" s="10" t="n"/>
      <c r="I507" s="11">
        <f>IF(B507="","",DATE(YEAR(B507)+3,12,31))</f>
        <v/>
      </c>
      <c r="J507" s="8" t="n"/>
      <c r="K507" s="9" t="n"/>
      <c r="L507" s="8" t="n"/>
      <c r="M507" s="9" t="n"/>
      <c r="N507" s="8" t="n"/>
      <c r="O507" s="9" t="n"/>
      <c r="P507" s="12">
        <f>IF(C507="","",C507-SUM(K507,M507,O507))</f>
        <v/>
      </c>
      <c r="Q507" s="13">
        <f>IF(A507="","",IF(P507&lt;=0,"eingelöst",IF(AND(I507&lt;&gt;"",TODAY()&gt;I507),"abgelaufen",IF(P507&lt;C507,"teilweise","offen"))))</f>
        <v/>
      </c>
    </row>
    <row r="508">
      <c r="A508" s="7" t="n"/>
      <c r="B508" s="8" t="n"/>
      <c r="C508" s="9" t="n"/>
      <c r="D508" s="10" t="n"/>
      <c r="E508" s="10" t="n"/>
      <c r="F508" s="10" t="n"/>
      <c r="G508" s="10" t="n"/>
      <c r="H508" s="10" t="n"/>
      <c r="I508" s="11">
        <f>IF(B508="","",DATE(YEAR(B508)+3,12,31))</f>
        <v/>
      </c>
      <c r="J508" s="8" t="n"/>
      <c r="K508" s="9" t="n"/>
      <c r="L508" s="8" t="n"/>
      <c r="M508" s="9" t="n"/>
      <c r="N508" s="8" t="n"/>
      <c r="O508" s="9" t="n"/>
      <c r="P508" s="12">
        <f>IF(C508="","",C508-SUM(K508,M508,O508))</f>
        <v/>
      </c>
      <c r="Q508" s="13">
        <f>IF(A508="","",IF(P508&lt;=0,"eingelöst",IF(AND(I508&lt;&gt;"",TODAY()&gt;I508),"abgelaufen",IF(P508&lt;C508,"teilweise","offen"))))</f>
        <v/>
      </c>
    </row>
    <row r="509">
      <c r="A509" s="7" t="n"/>
      <c r="B509" s="8" t="n"/>
      <c r="C509" s="9" t="n"/>
      <c r="D509" s="10" t="n"/>
      <c r="E509" s="10" t="n"/>
      <c r="F509" s="10" t="n"/>
      <c r="G509" s="10" t="n"/>
      <c r="H509" s="10" t="n"/>
      <c r="I509" s="11">
        <f>IF(B509="","",DATE(YEAR(B509)+3,12,31))</f>
        <v/>
      </c>
      <c r="J509" s="8" t="n"/>
      <c r="K509" s="9" t="n"/>
      <c r="L509" s="8" t="n"/>
      <c r="M509" s="9" t="n"/>
      <c r="N509" s="8" t="n"/>
      <c r="O509" s="9" t="n"/>
      <c r="P509" s="12">
        <f>IF(C509="","",C509-SUM(K509,M509,O509))</f>
        <v/>
      </c>
      <c r="Q509" s="13">
        <f>IF(A509="","",IF(P509&lt;=0,"eingelöst",IF(AND(I509&lt;&gt;"",TODAY()&gt;I509),"abgelaufen",IF(P509&lt;C509,"teilweise","offen"))))</f>
        <v/>
      </c>
    </row>
    <row r="510">
      <c r="A510" s="7" t="n"/>
      <c r="B510" s="8" t="n"/>
      <c r="C510" s="9" t="n"/>
      <c r="D510" s="10" t="n"/>
      <c r="E510" s="10" t="n"/>
      <c r="F510" s="10" t="n"/>
      <c r="G510" s="10" t="n"/>
      <c r="H510" s="10" t="n"/>
      <c r="I510" s="11">
        <f>IF(B510="","",DATE(YEAR(B510)+3,12,31))</f>
        <v/>
      </c>
      <c r="J510" s="8" t="n"/>
      <c r="K510" s="9" t="n"/>
      <c r="L510" s="8" t="n"/>
      <c r="M510" s="9" t="n"/>
      <c r="N510" s="8" t="n"/>
      <c r="O510" s="9" t="n"/>
      <c r="P510" s="12">
        <f>IF(C510="","",C510-SUM(K510,M510,O510))</f>
        <v/>
      </c>
      <c r="Q510" s="13">
        <f>IF(A510="","",IF(P510&lt;=0,"eingelöst",IF(AND(I510&lt;&gt;"",TODAY()&gt;I510),"abgelaufen",IF(P510&lt;C510,"teilweise","offen"))))</f>
        <v/>
      </c>
    </row>
    <row r="511">
      <c r="A511" s="7" t="n"/>
      <c r="B511" s="8" t="n"/>
      <c r="C511" s="9" t="n"/>
      <c r="D511" s="10" t="n"/>
      <c r="E511" s="10" t="n"/>
      <c r="F511" s="10" t="n"/>
      <c r="G511" s="10" t="n"/>
      <c r="H511" s="10" t="n"/>
      <c r="I511" s="11">
        <f>IF(B511="","",DATE(YEAR(B511)+3,12,31))</f>
        <v/>
      </c>
      <c r="J511" s="8" t="n"/>
      <c r="K511" s="9" t="n"/>
      <c r="L511" s="8" t="n"/>
      <c r="M511" s="9" t="n"/>
      <c r="N511" s="8" t="n"/>
      <c r="O511" s="9" t="n"/>
      <c r="P511" s="12">
        <f>IF(C511="","",C511-SUM(K511,M511,O511))</f>
        <v/>
      </c>
      <c r="Q511" s="13">
        <f>IF(A511="","",IF(P511&lt;=0,"eingelöst",IF(AND(I511&lt;&gt;"",TODAY()&gt;I511),"abgelaufen",IF(P511&lt;C511,"teilweise","offen"))))</f>
        <v/>
      </c>
    </row>
    <row r="512">
      <c r="A512" s="7" t="n"/>
      <c r="B512" s="8" t="n"/>
      <c r="C512" s="9" t="n"/>
      <c r="D512" s="10" t="n"/>
      <c r="E512" s="10" t="n"/>
      <c r="F512" s="10" t="n"/>
      <c r="G512" s="10" t="n"/>
      <c r="H512" s="10" t="n"/>
      <c r="I512" s="11">
        <f>IF(B512="","",DATE(YEAR(B512)+3,12,31))</f>
        <v/>
      </c>
      <c r="J512" s="8" t="n"/>
      <c r="K512" s="9" t="n"/>
      <c r="L512" s="8" t="n"/>
      <c r="M512" s="9" t="n"/>
      <c r="N512" s="8" t="n"/>
      <c r="O512" s="9" t="n"/>
      <c r="P512" s="12">
        <f>IF(C512="","",C512-SUM(K512,M512,O512))</f>
        <v/>
      </c>
      <c r="Q512" s="13">
        <f>IF(A512="","",IF(P512&lt;=0,"eingelöst",IF(AND(I512&lt;&gt;"",TODAY()&gt;I512),"abgelaufen",IF(P512&lt;C512,"teilweise","offen"))))</f>
        <v/>
      </c>
    </row>
    <row r="513">
      <c r="A513" s="7" t="n"/>
      <c r="B513" s="8" t="n"/>
      <c r="C513" s="9" t="n"/>
      <c r="D513" s="10" t="n"/>
      <c r="E513" s="10" t="n"/>
      <c r="F513" s="10" t="n"/>
      <c r="G513" s="10" t="n"/>
      <c r="H513" s="10" t="n"/>
      <c r="I513" s="11">
        <f>IF(B513="","",DATE(YEAR(B513)+3,12,31))</f>
        <v/>
      </c>
      <c r="J513" s="8" t="n"/>
      <c r="K513" s="9" t="n"/>
      <c r="L513" s="8" t="n"/>
      <c r="M513" s="9" t="n"/>
      <c r="N513" s="8" t="n"/>
      <c r="O513" s="9" t="n"/>
      <c r="P513" s="12">
        <f>IF(C513="","",C513-SUM(K513,M513,O513))</f>
        <v/>
      </c>
      <c r="Q513" s="13">
        <f>IF(A513="","",IF(P513&lt;=0,"eingelöst",IF(AND(I513&lt;&gt;"",TODAY()&gt;I513),"abgelaufen",IF(P513&lt;C513,"teilweise","offen"))))</f>
        <v/>
      </c>
    </row>
    <row r="514">
      <c r="A514" s="7" t="n"/>
      <c r="B514" s="8" t="n"/>
      <c r="C514" s="9" t="n"/>
      <c r="D514" s="10" t="n"/>
      <c r="E514" s="10" t="n"/>
      <c r="F514" s="10" t="n"/>
      <c r="G514" s="10" t="n"/>
      <c r="H514" s="10" t="n"/>
      <c r="I514" s="11">
        <f>IF(B514="","",DATE(YEAR(B514)+3,12,31))</f>
        <v/>
      </c>
      <c r="J514" s="8" t="n"/>
      <c r="K514" s="9" t="n"/>
      <c r="L514" s="8" t="n"/>
      <c r="M514" s="9" t="n"/>
      <c r="N514" s="8" t="n"/>
      <c r="O514" s="9" t="n"/>
      <c r="P514" s="12">
        <f>IF(C514="","",C514-SUM(K514,M514,O514))</f>
        <v/>
      </c>
      <c r="Q514" s="13">
        <f>IF(A514="","",IF(P514&lt;=0,"eingelöst",IF(AND(I514&lt;&gt;"",TODAY()&gt;I514),"abgelaufen",IF(P514&lt;C514,"teilweise","offen"))))</f>
        <v/>
      </c>
    </row>
    <row r="515">
      <c r="A515" s="7" t="n"/>
      <c r="B515" s="8" t="n"/>
      <c r="C515" s="9" t="n"/>
      <c r="D515" s="10" t="n"/>
      <c r="E515" s="10" t="n"/>
      <c r="F515" s="10" t="n"/>
      <c r="G515" s="10" t="n"/>
      <c r="H515" s="10" t="n"/>
      <c r="I515" s="11">
        <f>IF(B515="","",DATE(YEAR(B515)+3,12,31))</f>
        <v/>
      </c>
      <c r="J515" s="8" t="n"/>
      <c r="K515" s="9" t="n"/>
      <c r="L515" s="8" t="n"/>
      <c r="M515" s="9" t="n"/>
      <c r="N515" s="8" t="n"/>
      <c r="O515" s="9" t="n"/>
      <c r="P515" s="12">
        <f>IF(C515="","",C515-SUM(K515,M515,O515))</f>
        <v/>
      </c>
      <c r="Q515" s="13">
        <f>IF(A515="","",IF(P515&lt;=0,"eingelöst",IF(AND(I515&lt;&gt;"",TODAY()&gt;I515),"abgelaufen",IF(P515&lt;C515,"teilweise","offen"))))</f>
        <v/>
      </c>
    </row>
    <row r="516">
      <c r="A516" s="7" t="n"/>
      <c r="B516" s="8" t="n"/>
      <c r="C516" s="9" t="n"/>
      <c r="D516" s="10" t="n"/>
      <c r="E516" s="10" t="n"/>
      <c r="F516" s="10" t="n"/>
      <c r="G516" s="10" t="n"/>
      <c r="H516" s="10" t="n"/>
      <c r="I516" s="11">
        <f>IF(B516="","",DATE(YEAR(B516)+3,12,31))</f>
        <v/>
      </c>
      <c r="J516" s="8" t="n"/>
      <c r="K516" s="9" t="n"/>
      <c r="L516" s="8" t="n"/>
      <c r="M516" s="9" t="n"/>
      <c r="N516" s="8" t="n"/>
      <c r="O516" s="9" t="n"/>
      <c r="P516" s="12">
        <f>IF(C516="","",C516-SUM(K516,M516,O516))</f>
        <v/>
      </c>
      <c r="Q516" s="13">
        <f>IF(A516="","",IF(P516&lt;=0,"eingelöst",IF(AND(I516&lt;&gt;"",TODAY()&gt;I516),"abgelaufen",IF(P516&lt;C516,"teilweise","offen"))))</f>
        <v/>
      </c>
    </row>
    <row r="517">
      <c r="A517" s="7" t="n"/>
      <c r="B517" s="8" t="n"/>
      <c r="C517" s="9" t="n"/>
      <c r="D517" s="10" t="n"/>
      <c r="E517" s="10" t="n"/>
      <c r="F517" s="10" t="n"/>
      <c r="G517" s="10" t="n"/>
      <c r="H517" s="10" t="n"/>
      <c r="I517" s="11">
        <f>IF(B517="","",DATE(YEAR(B517)+3,12,31))</f>
        <v/>
      </c>
      <c r="J517" s="8" t="n"/>
      <c r="K517" s="9" t="n"/>
      <c r="L517" s="8" t="n"/>
      <c r="M517" s="9" t="n"/>
      <c r="N517" s="8" t="n"/>
      <c r="O517" s="9" t="n"/>
      <c r="P517" s="12">
        <f>IF(C517="","",C517-SUM(K517,M517,O517))</f>
        <v/>
      </c>
      <c r="Q517" s="13">
        <f>IF(A517="","",IF(P517&lt;=0,"eingelöst",IF(AND(I517&lt;&gt;"",TODAY()&gt;I517),"abgelaufen",IF(P517&lt;C517,"teilweise","offen"))))</f>
        <v/>
      </c>
    </row>
    <row r="518">
      <c r="A518" s="7" t="n"/>
      <c r="B518" s="8" t="n"/>
      <c r="C518" s="9" t="n"/>
      <c r="D518" s="10" t="n"/>
      <c r="E518" s="10" t="n"/>
      <c r="F518" s="10" t="n"/>
      <c r="G518" s="10" t="n"/>
      <c r="H518" s="10" t="n"/>
      <c r="I518" s="11">
        <f>IF(B518="","",DATE(YEAR(B518)+3,12,31))</f>
        <v/>
      </c>
      <c r="J518" s="8" t="n"/>
      <c r="K518" s="9" t="n"/>
      <c r="L518" s="8" t="n"/>
      <c r="M518" s="9" t="n"/>
      <c r="N518" s="8" t="n"/>
      <c r="O518" s="9" t="n"/>
      <c r="P518" s="12">
        <f>IF(C518="","",C518-SUM(K518,M518,O518))</f>
        <v/>
      </c>
      <c r="Q518" s="13">
        <f>IF(A518="","",IF(P518&lt;=0,"eingelöst",IF(AND(I518&lt;&gt;"",TODAY()&gt;I518),"abgelaufen",IF(P518&lt;C518,"teilweise","offen"))))</f>
        <v/>
      </c>
    </row>
    <row r="519">
      <c r="A519" s="7" t="n"/>
      <c r="B519" s="8" t="n"/>
      <c r="C519" s="9" t="n"/>
      <c r="D519" s="10" t="n"/>
      <c r="E519" s="10" t="n"/>
      <c r="F519" s="10" t="n"/>
      <c r="G519" s="10" t="n"/>
      <c r="H519" s="10" t="n"/>
      <c r="I519" s="11">
        <f>IF(B519="","",DATE(YEAR(B519)+3,12,31))</f>
        <v/>
      </c>
      <c r="J519" s="8" t="n"/>
      <c r="K519" s="9" t="n"/>
      <c r="L519" s="8" t="n"/>
      <c r="M519" s="9" t="n"/>
      <c r="N519" s="8" t="n"/>
      <c r="O519" s="9" t="n"/>
      <c r="P519" s="12">
        <f>IF(C519="","",C519-SUM(K519,M519,O519))</f>
        <v/>
      </c>
      <c r="Q519" s="13">
        <f>IF(A519="","",IF(P519&lt;=0,"eingelöst",IF(AND(I519&lt;&gt;"",TODAY()&gt;I519),"abgelaufen",IF(P519&lt;C519,"teilweise","offen"))))</f>
        <v/>
      </c>
    </row>
    <row r="520">
      <c r="A520" s="7" t="n"/>
      <c r="B520" s="8" t="n"/>
      <c r="C520" s="9" t="n"/>
      <c r="D520" s="10" t="n"/>
      <c r="E520" s="10" t="n"/>
      <c r="F520" s="10" t="n"/>
      <c r="G520" s="10" t="n"/>
      <c r="H520" s="10" t="n"/>
      <c r="I520" s="11">
        <f>IF(B520="","",DATE(YEAR(B520)+3,12,31))</f>
        <v/>
      </c>
      <c r="J520" s="8" t="n"/>
      <c r="K520" s="9" t="n"/>
      <c r="L520" s="8" t="n"/>
      <c r="M520" s="9" t="n"/>
      <c r="N520" s="8" t="n"/>
      <c r="O520" s="9" t="n"/>
      <c r="P520" s="12">
        <f>IF(C520="","",C520-SUM(K520,M520,O520))</f>
        <v/>
      </c>
      <c r="Q520" s="13">
        <f>IF(A520="","",IF(P520&lt;=0,"eingelöst",IF(AND(I520&lt;&gt;"",TODAY()&gt;I520),"abgelaufen",IF(P520&lt;C520,"teilweise","offen"))))</f>
        <v/>
      </c>
    </row>
    <row r="521">
      <c r="A521" s="7" t="n"/>
      <c r="B521" s="8" t="n"/>
      <c r="C521" s="9" t="n"/>
      <c r="D521" s="10" t="n"/>
      <c r="E521" s="10" t="n"/>
      <c r="F521" s="10" t="n"/>
      <c r="G521" s="10" t="n"/>
      <c r="H521" s="10" t="n"/>
      <c r="I521" s="11">
        <f>IF(B521="","",DATE(YEAR(B521)+3,12,31))</f>
        <v/>
      </c>
      <c r="J521" s="8" t="n"/>
      <c r="K521" s="9" t="n"/>
      <c r="L521" s="8" t="n"/>
      <c r="M521" s="9" t="n"/>
      <c r="N521" s="8" t="n"/>
      <c r="O521" s="9" t="n"/>
      <c r="P521" s="12">
        <f>IF(C521="","",C521-SUM(K521,M521,O521))</f>
        <v/>
      </c>
      <c r="Q521" s="13">
        <f>IF(A521="","",IF(P521&lt;=0,"eingelöst",IF(AND(I521&lt;&gt;"",TODAY()&gt;I521),"abgelaufen",IF(P521&lt;C521,"teilweise","offen"))))</f>
        <v/>
      </c>
    </row>
    <row r="522">
      <c r="A522" s="7" t="n"/>
      <c r="B522" s="8" t="n"/>
      <c r="C522" s="9" t="n"/>
      <c r="D522" s="10" t="n"/>
      <c r="E522" s="10" t="n"/>
      <c r="F522" s="10" t="n"/>
      <c r="G522" s="10" t="n"/>
      <c r="H522" s="10" t="n"/>
      <c r="I522" s="11">
        <f>IF(B522="","",DATE(YEAR(B522)+3,12,31))</f>
        <v/>
      </c>
      <c r="J522" s="8" t="n"/>
      <c r="K522" s="9" t="n"/>
      <c r="L522" s="8" t="n"/>
      <c r="M522" s="9" t="n"/>
      <c r="N522" s="8" t="n"/>
      <c r="O522" s="9" t="n"/>
      <c r="P522" s="12">
        <f>IF(C522="","",C522-SUM(K522,M522,O522))</f>
        <v/>
      </c>
      <c r="Q522" s="13">
        <f>IF(A522="","",IF(P522&lt;=0,"eingelöst",IF(AND(I522&lt;&gt;"",TODAY()&gt;I522),"abgelaufen",IF(P522&lt;C522,"teilweise","offen"))))</f>
        <v/>
      </c>
    </row>
    <row r="523">
      <c r="A523" s="7" t="n"/>
      <c r="B523" s="8" t="n"/>
      <c r="C523" s="9" t="n"/>
      <c r="D523" s="10" t="n"/>
      <c r="E523" s="10" t="n"/>
      <c r="F523" s="10" t="n"/>
      <c r="G523" s="10" t="n"/>
      <c r="H523" s="10" t="n"/>
      <c r="I523" s="11">
        <f>IF(B523="","",DATE(YEAR(B523)+3,12,31))</f>
        <v/>
      </c>
      <c r="J523" s="8" t="n"/>
      <c r="K523" s="9" t="n"/>
      <c r="L523" s="8" t="n"/>
      <c r="M523" s="9" t="n"/>
      <c r="N523" s="8" t="n"/>
      <c r="O523" s="9" t="n"/>
      <c r="P523" s="12">
        <f>IF(C523="","",C523-SUM(K523,M523,O523))</f>
        <v/>
      </c>
      <c r="Q523" s="13">
        <f>IF(A523="","",IF(P523&lt;=0,"eingelöst",IF(AND(I523&lt;&gt;"",TODAY()&gt;I523),"abgelaufen",IF(P523&lt;C523,"teilweise","offen"))))</f>
        <v/>
      </c>
    </row>
    <row r="524">
      <c r="A524" s="7" t="n"/>
      <c r="B524" s="8" t="n"/>
      <c r="C524" s="9" t="n"/>
      <c r="D524" s="10" t="n"/>
      <c r="E524" s="10" t="n"/>
      <c r="F524" s="10" t="n"/>
      <c r="G524" s="10" t="n"/>
      <c r="H524" s="10" t="n"/>
      <c r="I524" s="11">
        <f>IF(B524="","",DATE(YEAR(B524)+3,12,31))</f>
        <v/>
      </c>
      <c r="J524" s="8" t="n"/>
      <c r="K524" s="9" t="n"/>
      <c r="L524" s="8" t="n"/>
      <c r="M524" s="9" t="n"/>
      <c r="N524" s="8" t="n"/>
      <c r="O524" s="9" t="n"/>
      <c r="P524" s="12">
        <f>IF(C524="","",C524-SUM(K524,M524,O524))</f>
        <v/>
      </c>
      <c r="Q524" s="13">
        <f>IF(A524="","",IF(P524&lt;=0,"eingelöst",IF(AND(I524&lt;&gt;"",TODAY()&gt;I524),"abgelaufen",IF(P524&lt;C524,"teilweise","offen"))))</f>
        <v/>
      </c>
    </row>
    <row r="525">
      <c r="A525" s="7" t="n"/>
      <c r="B525" s="8" t="n"/>
      <c r="C525" s="9" t="n"/>
      <c r="D525" s="10" t="n"/>
      <c r="E525" s="10" t="n"/>
      <c r="F525" s="10" t="n"/>
      <c r="G525" s="10" t="n"/>
      <c r="H525" s="10" t="n"/>
      <c r="I525" s="11">
        <f>IF(B525="","",DATE(YEAR(B525)+3,12,31))</f>
        <v/>
      </c>
      <c r="J525" s="8" t="n"/>
      <c r="K525" s="9" t="n"/>
      <c r="L525" s="8" t="n"/>
      <c r="M525" s="9" t="n"/>
      <c r="N525" s="8" t="n"/>
      <c r="O525" s="9" t="n"/>
      <c r="P525" s="12">
        <f>IF(C525="","",C525-SUM(K525,M525,O525))</f>
        <v/>
      </c>
      <c r="Q525" s="13">
        <f>IF(A525="","",IF(P525&lt;=0,"eingelöst",IF(AND(I525&lt;&gt;"",TODAY()&gt;I525),"abgelaufen",IF(P525&lt;C525,"teilweise","offen"))))</f>
        <v/>
      </c>
    </row>
    <row r="526">
      <c r="A526" s="7" t="n"/>
      <c r="B526" s="8" t="n"/>
      <c r="C526" s="9" t="n"/>
      <c r="D526" s="10" t="n"/>
      <c r="E526" s="10" t="n"/>
      <c r="F526" s="10" t="n"/>
      <c r="G526" s="10" t="n"/>
      <c r="H526" s="10" t="n"/>
      <c r="I526" s="11">
        <f>IF(B526="","",DATE(YEAR(B526)+3,12,31))</f>
        <v/>
      </c>
      <c r="J526" s="8" t="n"/>
      <c r="K526" s="9" t="n"/>
      <c r="L526" s="8" t="n"/>
      <c r="M526" s="9" t="n"/>
      <c r="N526" s="8" t="n"/>
      <c r="O526" s="9" t="n"/>
      <c r="P526" s="12">
        <f>IF(C526="","",C526-SUM(K526,M526,O526))</f>
        <v/>
      </c>
      <c r="Q526" s="13">
        <f>IF(A526="","",IF(P526&lt;=0,"eingelöst",IF(AND(I526&lt;&gt;"",TODAY()&gt;I526),"abgelaufen",IF(P526&lt;C526,"teilweise","offen"))))</f>
        <v/>
      </c>
    </row>
    <row r="527">
      <c r="A527" s="7" t="n"/>
      <c r="B527" s="8" t="n"/>
      <c r="C527" s="9" t="n"/>
      <c r="D527" s="10" t="n"/>
      <c r="E527" s="10" t="n"/>
      <c r="F527" s="10" t="n"/>
      <c r="G527" s="10" t="n"/>
      <c r="H527" s="10" t="n"/>
      <c r="I527" s="11">
        <f>IF(B527="","",DATE(YEAR(B527)+3,12,31))</f>
        <v/>
      </c>
      <c r="J527" s="8" t="n"/>
      <c r="K527" s="9" t="n"/>
      <c r="L527" s="8" t="n"/>
      <c r="M527" s="9" t="n"/>
      <c r="N527" s="8" t="n"/>
      <c r="O527" s="9" t="n"/>
      <c r="P527" s="12">
        <f>IF(C527="","",C527-SUM(K527,M527,O527))</f>
        <v/>
      </c>
      <c r="Q527" s="13">
        <f>IF(A527="","",IF(P527&lt;=0,"eingelöst",IF(AND(I527&lt;&gt;"",TODAY()&gt;I527),"abgelaufen",IF(P527&lt;C527,"teilweise","offen"))))</f>
        <v/>
      </c>
    </row>
    <row r="528">
      <c r="A528" s="7" t="n"/>
      <c r="B528" s="8" t="n"/>
      <c r="C528" s="9" t="n"/>
      <c r="D528" s="10" t="n"/>
      <c r="E528" s="10" t="n"/>
      <c r="F528" s="10" t="n"/>
      <c r="G528" s="10" t="n"/>
      <c r="H528" s="10" t="n"/>
      <c r="I528" s="11">
        <f>IF(B528="","",DATE(YEAR(B528)+3,12,31))</f>
        <v/>
      </c>
      <c r="J528" s="8" t="n"/>
      <c r="K528" s="9" t="n"/>
      <c r="L528" s="8" t="n"/>
      <c r="M528" s="9" t="n"/>
      <c r="N528" s="8" t="n"/>
      <c r="O528" s="9" t="n"/>
      <c r="P528" s="12">
        <f>IF(C528="","",C528-SUM(K528,M528,O528))</f>
        <v/>
      </c>
      <c r="Q528" s="13">
        <f>IF(A528="","",IF(P528&lt;=0,"eingelöst",IF(AND(I528&lt;&gt;"",TODAY()&gt;I528),"abgelaufen",IF(P528&lt;C528,"teilweise","offen"))))</f>
        <v/>
      </c>
    </row>
    <row r="529">
      <c r="A529" s="7" t="n"/>
      <c r="B529" s="8" t="n"/>
      <c r="C529" s="9" t="n"/>
      <c r="D529" s="10" t="n"/>
      <c r="E529" s="10" t="n"/>
      <c r="F529" s="10" t="n"/>
      <c r="G529" s="10" t="n"/>
      <c r="H529" s="10" t="n"/>
      <c r="I529" s="11">
        <f>IF(B529="","",DATE(YEAR(B529)+3,12,31))</f>
        <v/>
      </c>
      <c r="J529" s="8" t="n"/>
      <c r="K529" s="9" t="n"/>
      <c r="L529" s="8" t="n"/>
      <c r="M529" s="9" t="n"/>
      <c r="N529" s="8" t="n"/>
      <c r="O529" s="9" t="n"/>
      <c r="P529" s="12">
        <f>IF(C529="","",C529-SUM(K529,M529,O529))</f>
        <v/>
      </c>
      <c r="Q529" s="13">
        <f>IF(A529="","",IF(P529&lt;=0,"eingelöst",IF(AND(I529&lt;&gt;"",TODAY()&gt;I529),"abgelaufen",IF(P529&lt;C529,"teilweise","offen"))))</f>
        <v/>
      </c>
    </row>
    <row r="530">
      <c r="A530" s="7" t="n"/>
      <c r="B530" s="8" t="n"/>
      <c r="C530" s="9" t="n"/>
      <c r="D530" s="10" t="n"/>
      <c r="E530" s="10" t="n"/>
      <c r="F530" s="10" t="n"/>
      <c r="G530" s="10" t="n"/>
      <c r="H530" s="10" t="n"/>
      <c r="I530" s="11">
        <f>IF(B530="","",DATE(YEAR(B530)+3,12,31))</f>
        <v/>
      </c>
      <c r="J530" s="8" t="n"/>
      <c r="K530" s="9" t="n"/>
      <c r="L530" s="8" t="n"/>
      <c r="M530" s="9" t="n"/>
      <c r="N530" s="8" t="n"/>
      <c r="O530" s="9" t="n"/>
      <c r="P530" s="12">
        <f>IF(C530="","",C530-SUM(K530,M530,O530))</f>
        <v/>
      </c>
      <c r="Q530" s="13">
        <f>IF(A530="","",IF(P530&lt;=0,"eingelöst",IF(AND(I530&lt;&gt;"",TODAY()&gt;I530),"abgelaufen",IF(P530&lt;C530,"teilweise","offen"))))</f>
        <v/>
      </c>
    </row>
    <row r="531">
      <c r="A531" s="7" t="n"/>
      <c r="B531" s="8" t="n"/>
      <c r="C531" s="9" t="n"/>
      <c r="D531" s="10" t="n"/>
      <c r="E531" s="10" t="n"/>
      <c r="F531" s="10" t="n"/>
      <c r="G531" s="10" t="n"/>
      <c r="H531" s="10" t="n"/>
      <c r="I531" s="11">
        <f>IF(B531="","",DATE(YEAR(B531)+3,12,31))</f>
        <v/>
      </c>
      <c r="J531" s="8" t="n"/>
      <c r="K531" s="9" t="n"/>
      <c r="L531" s="8" t="n"/>
      <c r="M531" s="9" t="n"/>
      <c r="N531" s="8" t="n"/>
      <c r="O531" s="9" t="n"/>
      <c r="P531" s="12">
        <f>IF(C531="","",C531-SUM(K531,M531,O531))</f>
        <v/>
      </c>
      <c r="Q531" s="13">
        <f>IF(A531="","",IF(P531&lt;=0,"eingelöst",IF(AND(I531&lt;&gt;"",TODAY()&gt;I531),"abgelaufen",IF(P531&lt;C531,"teilweise","offen"))))</f>
        <v/>
      </c>
    </row>
    <row r="532">
      <c r="A532" s="7" t="n"/>
      <c r="B532" s="8" t="n"/>
      <c r="C532" s="9" t="n"/>
      <c r="D532" s="10" t="n"/>
      <c r="E532" s="10" t="n"/>
      <c r="F532" s="10" t="n"/>
      <c r="G532" s="10" t="n"/>
      <c r="H532" s="10" t="n"/>
      <c r="I532" s="11">
        <f>IF(B532="","",DATE(YEAR(B532)+3,12,31))</f>
        <v/>
      </c>
      <c r="J532" s="8" t="n"/>
      <c r="K532" s="9" t="n"/>
      <c r="L532" s="8" t="n"/>
      <c r="M532" s="9" t="n"/>
      <c r="N532" s="8" t="n"/>
      <c r="O532" s="9" t="n"/>
      <c r="P532" s="12">
        <f>IF(C532="","",C532-SUM(K532,M532,O532))</f>
        <v/>
      </c>
      <c r="Q532" s="13">
        <f>IF(A532="","",IF(P532&lt;=0,"eingelöst",IF(AND(I532&lt;&gt;"",TODAY()&gt;I532),"abgelaufen",IF(P532&lt;C532,"teilweise","offen"))))</f>
        <v/>
      </c>
    </row>
    <row r="533">
      <c r="A533" s="7" t="n"/>
      <c r="B533" s="8" t="n"/>
      <c r="C533" s="9" t="n"/>
      <c r="D533" s="10" t="n"/>
      <c r="E533" s="10" t="n"/>
      <c r="F533" s="10" t="n"/>
      <c r="G533" s="10" t="n"/>
      <c r="H533" s="10" t="n"/>
      <c r="I533" s="11">
        <f>IF(B533="","",DATE(YEAR(B533)+3,12,31))</f>
        <v/>
      </c>
      <c r="J533" s="8" t="n"/>
      <c r="K533" s="9" t="n"/>
      <c r="L533" s="8" t="n"/>
      <c r="M533" s="9" t="n"/>
      <c r="N533" s="8" t="n"/>
      <c r="O533" s="9" t="n"/>
      <c r="P533" s="12">
        <f>IF(C533="","",C533-SUM(K533,M533,O533))</f>
        <v/>
      </c>
      <c r="Q533" s="13">
        <f>IF(A533="","",IF(P533&lt;=0,"eingelöst",IF(AND(I533&lt;&gt;"",TODAY()&gt;I533),"abgelaufen",IF(P533&lt;C533,"teilweise","offen"))))</f>
        <v/>
      </c>
    </row>
    <row r="534">
      <c r="A534" s="7" t="n"/>
      <c r="B534" s="8" t="n"/>
      <c r="C534" s="9" t="n"/>
      <c r="D534" s="10" t="n"/>
      <c r="E534" s="10" t="n"/>
      <c r="F534" s="10" t="n"/>
      <c r="G534" s="10" t="n"/>
      <c r="H534" s="10" t="n"/>
      <c r="I534" s="11">
        <f>IF(B534="","",DATE(YEAR(B534)+3,12,31))</f>
        <v/>
      </c>
      <c r="J534" s="8" t="n"/>
      <c r="K534" s="9" t="n"/>
      <c r="L534" s="8" t="n"/>
      <c r="M534" s="9" t="n"/>
      <c r="N534" s="8" t="n"/>
      <c r="O534" s="9" t="n"/>
      <c r="P534" s="12">
        <f>IF(C534="","",C534-SUM(K534,M534,O534))</f>
        <v/>
      </c>
      <c r="Q534" s="13">
        <f>IF(A534="","",IF(P534&lt;=0,"eingelöst",IF(AND(I534&lt;&gt;"",TODAY()&gt;I534),"abgelaufen",IF(P534&lt;C534,"teilweise","offen"))))</f>
        <v/>
      </c>
    </row>
    <row r="535">
      <c r="A535" s="7" t="n"/>
      <c r="B535" s="8" t="n"/>
      <c r="C535" s="9" t="n"/>
      <c r="D535" s="10" t="n"/>
      <c r="E535" s="10" t="n"/>
      <c r="F535" s="10" t="n"/>
      <c r="G535" s="10" t="n"/>
      <c r="H535" s="10" t="n"/>
      <c r="I535" s="11">
        <f>IF(B535="","",DATE(YEAR(B535)+3,12,31))</f>
        <v/>
      </c>
      <c r="J535" s="8" t="n"/>
      <c r="K535" s="9" t="n"/>
      <c r="L535" s="8" t="n"/>
      <c r="M535" s="9" t="n"/>
      <c r="N535" s="8" t="n"/>
      <c r="O535" s="9" t="n"/>
      <c r="P535" s="12">
        <f>IF(C535="","",C535-SUM(K535,M535,O535))</f>
        <v/>
      </c>
      <c r="Q535" s="13">
        <f>IF(A535="","",IF(P535&lt;=0,"eingelöst",IF(AND(I535&lt;&gt;"",TODAY()&gt;I535),"abgelaufen",IF(P535&lt;C535,"teilweise","offen"))))</f>
        <v/>
      </c>
    </row>
    <row r="536">
      <c r="A536" s="7" t="n"/>
      <c r="B536" s="8" t="n"/>
      <c r="C536" s="9" t="n"/>
      <c r="D536" s="10" t="n"/>
      <c r="E536" s="10" t="n"/>
      <c r="F536" s="10" t="n"/>
      <c r="G536" s="10" t="n"/>
      <c r="H536" s="10" t="n"/>
      <c r="I536" s="11">
        <f>IF(B536="","",DATE(YEAR(B536)+3,12,31))</f>
        <v/>
      </c>
      <c r="J536" s="8" t="n"/>
      <c r="K536" s="9" t="n"/>
      <c r="L536" s="8" t="n"/>
      <c r="M536" s="9" t="n"/>
      <c r="N536" s="8" t="n"/>
      <c r="O536" s="9" t="n"/>
      <c r="P536" s="12">
        <f>IF(C536="","",C536-SUM(K536,M536,O536))</f>
        <v/>
      </c>
      <c r="Q536" s="13">
        <f>IF(A536="","",IF(P536&lt;=0,"eingelöst",IF(AND(I536&lt;&gt;"",TODAY()&gt;I536),"abgelaufen",IF(P536&lt;C536,"teilweise","offen"))))</f>
        <v/>
      </c>
    </row>
    <row r="537">
      <c r="A537" s="7" t="n"/>
      <c r="B537" s="8" t="n"/>
      <c r="C537" s="9" t="n"/>
      <c r="D537" s="10" t="n"/>
      <c r="E537" s="10" t="n"/>
      <c r="F537" s="10" t="n"/>
      <c r="G537" s="10" t="n"/>
      <c r="H537" s="10" t="n"/>
      <c r="I537" s="11">
        <f>IF(B537="","",DATE(YEAR(B537)+3,12,31))</f>
        <v/>
      </c>
      <c r="J537" s="8" t="n"/>
      <c r="K537" s="9" t="n"/>
      <c r="L537" s="8" t="n"/>
      <c r="M537" s="9" t="n"/>
      <c r="N537" s="8" t="n"/>
      <c r="O537" s="9" t="n"/>
      <c r="P537" s="12">
        <f>IF(C537="","",C537-SUM(K537,M537,O537))</f>
        <v/>
      </c>
      <c r="Q537" s="13">
        <f>IF(A537="","",IF(P537&lt;=0,"eingelöst",IF(AND(I537&lt;&gt;"",TODAY()&gt;I537),"abgelaufen",IF(P537&lt;C537,"teilweise","offen"))))</f>
        <v/>
      </c>
    </row>
    <row r="538">
      <c r="A538" s="7" t="n"/>
      <c r="B538" s="8" t="n"/>
      <c r="C538" s="9" t="n"/>
      <c r="D538" s="10" t="n"/>
      <c r="E538" s="10" t="n"/>
      <c r="F538" s="10" t="n"/>
      <c r="G538" s="10" t="n"/>
      <c r="H538" s="10" t="n"/>
      <c r="I538" s="11">
        <f>IF(B538="","",DATE(YEAR(B538)+3,12,31))</f>
        <v/>
      </c>
      <c r="J538" s="8" t="n"/>
      <c r="K538" s="9" t="n"/>
      <c r="L538" s="8" t="n"/>
      <c r="M538" s="9" t="n"/>
      <c r="N538" s="8" t="n"/>
      <c r="O538" s="9" t="n"/>
      <c r="P538" s="12">
        <f>IF(C538="","",C538-SUM(K538,M538,O538))</f>
        <v/>
      </c>
      <c r="Q538" s="13">
        <f>IF(A538="","",IF(P538&lt;=0,"eingelöst",IF(AND(I538&lt;&gt;"",TODAY()&gt;I538),"abgelaufen",IF(P538&lt;C538,"teilweise","offen"))))</f>
        <v/>
      </c>
    </row>
    <row r="539">
      <c r="A539" s="7" t="n"/>
      <c r="B539" s="8" t="n"/>
      <c r="C539" s="9" t="n"/>
      <c r="D539" s="10" t="n"/>
      <c r="E539" s="10" t="n"/>
      <c r="F539" s="10" t="n"/>
      <c r="G539" s="10" t="n"/>
      <c r="H539" s="10" t="n"/>
      <c r="I539" s="11">
        <f>IF(B539="","",DATE(YEAR(B539)+3,12,31))</f>
        <v/>
      </c>
      <c r="J539" s="8" t="n"/>
      <c r="K539" s="9" t="n"/>
      <c r="L539" s="8" t="n"/>
      <c r="M539" s="9" t="n"/>
      <c r="N539" s="8" t="n"/>
      <c r="O539" s="9" t="n"/>
      <c r="P539" s="12">
        <f>IF(C539="","",C539-SUM(K539,M539,O539))</f>
        <v/>
      </c>
      <c r="Q539" s="13">
        <f>IF(A539="","",IF(P539&lt;=0,"eingelöst",IF(AND(I539&lt;&gt;"",TODAY()&gt;I539),"abgelaufen",IF(P539&lt;C539,"teilweise","offen"))))</f>
        <v/>
      </c>
    </row>
    <row r="540">
      <c r="A540" s="7" t="n"/>
      <c r="B540" s="8" t="n"/>
      <c r="C540" s="9" t="n"/>
      <c r="D540" s="10" t="n"/>
      <c r="E540" s="10" t="n"/>
      <c r="F540" s="10" t="n"/>
      <c r="G540" s="10" t="n"/>
      <c r="H540" s="10" t="n"/>
      <c r="I540" s="11">
        <f>IF(B540="","",DATE(YEAR(B540)+3,12,31))</f>
        <v/>
      </c>
      <c r="J540" s="8" t="n"/>
      <c r="K540" s="9" t="n"/>
      <c r="L540" s="8" t="n"/>
      <c r="M540" s="9" t="n"/>
      <c r="N540" s="8" t="n"/>
      <c r="O540" s="9" t="n"/>
      <c r="P540" s="12">
        <f>IF(C540="","",C540-SUM(K540,M540,O540))</f>
        <v/>
      </c>
      <c r="Q540" s="13">
        <f>IF(A540="","",IF(P540&lt;=0,"eingelöst",IF(AND(I540&lt;&gt;"",TODAY()&gt;I540),"abgelaufen",IF(P540&lt;C540,"teilweise","offen"))))</f>
        <v/>
      </c>
    </row>
    <row r="541">
      <c r="A541" s="7" t="n"/>
      <c r="B541" s="8" t="n"/>
      <c r="C541" s="9" t="n"/>
      <c r="D541" s="10" t="n"/>
      <c r="E541" s="10" t="n"/>
      <c r="F541" s="10" t="n"/>
      <c r="G541" s="10" t="n"/>
      <c r="H541" s="10" t="n"/>
      <c r="I541" s="11">
        <f>IF(B541="","",DATE(YEAR(B541)+3,12,31))</f>
        <v/>
      </c>
      <c r="J541" s="8" t="n"/>
      <c r="K541" s="9" t="n"/>
      <c r="L541" s="8" t="n"/>
      <c r="M541" s="9" t="n"/>
      <c r="N541" s="8" t="n"/>
      <c r="O541" s="9" t="n"/>
      <c r="P541" s="12">
        <f>IF(C541="","",C541-SUM(K541,M541,O541))</f>
        <v/>
      </c>
      <c r="Q541" s="13">
        <f>IF(A541="","",IF(P541&lt;=0,"eingelöst",IF(AND(I541&lt;&gt;"",TODAY()&gt;I541),"abgelaufen",IF(P541&lt;C541,"teilweise","offen"))))</f>
        <v/>
      </c>
    </row>
    <row r="542">
      <c r="A542" s="7" t="n"/>
      <c r="B542" s="8" t="n"/>
      <c r="C542" s="9" t="n"/>
      <c r="D542" s="10" t="n"/>
      <c r="E542" s="10" t="n"/>
      <c r="F542" s="10" t="n"/>
      <c r="G542" s="10" t="n"/>
      <c r="H542" s="10" t="n"/>
      <c r="I542" s="11">
        <f>IF(B542="","",DATE(YEAR(B542)+3,12,31))</f>
        <v/>
      </c>
      <c r="J542" s="8" t="n"/>
      <c r="K542" s="9" t="n"/>
      <c r="L542" s="8" t="n"/>
      <c r="M542" s="9" t="n"/>
      <c r="N542" s="8" t="n"/>
      <c r="O542" s="9" t="n"/>
      <c r="P542" s="12">
        <f>IF(C542="","",C542-SUM(K542,M542,O542))</f>
        <v/>
      </c>
      <c r="Q542" s="13">
        <f>IF(A542="","",IF(P542&lt;=0,"eingelöst",IF(AND(I542&lt;&gt;"",TODAY()&gt;I542),"abgelaufen",IF(P542&lt;C542,"teilweise","offen"))))</f>
        <v/>
      </c>
    </row>
    <row r="543">
      <c r="A543" s="7" t="n"/>
      <c r="B543" s="8" t="n"/>
      <c r="C543" s="9" t="n"/>
      <c r="D543" s="10" t="n"/>
      <c r="E543" s="10" t="n"/>
      <c r="F543" s="10" t="n"/>
      <c r="G543" s="10" t="n"/>
      <c r="H543" s="10" t="n"/>
      <c r="I543" s="11">
        <f>IF(B543="","",DATE(YEAR(B543)+3,12,31))</f>
        <v/>
      </c>
      <c r="J543" s="8" t="n"/>
      <c r="K543" s="9" t="n"/>
      <c r="L543" s="8" t="n"/>
      <c r="M543" s="9" t="n"/>
      <c r="N543" s="8" t="n"/>
      <c r="O543" s="9" t="n"/>
      <c r="P543" s="12">
        <f>IF(C543="","",C543-SUM(K543,M543,O543))</f>
        <v/>
      </c>
      <c r="Q543" s="13">
        <f>IF(A543="","",IF(P543&lt;=0,"eingelöst",IF(AND(I543&lt;&gt;"",TODAY()&gt;I543),"abgelaufen",IF(P543&lt;C543,"teilweise","offen"))))</f>
        <v/>
      </c>
    </row>
    <row r="544">
      <c r="A544" s="7" t="n"/>
      <c r="B544" s="8" t="n"/>
      <c r="C544" s="9" t="n"/>
      <c r="D544" s="10" t="n"/>
      <c r="E544" s="10" t="n"/>
      <c r="F544" s="10" t="n"/>
      <c r="G544" s="10" t="n"/>
      <c r="H544" s="10" t="n"/>
      <c r="I544" s="11">
        <f>IF(B544="","",DATE(YEAR(B544)+3,12,31))</f>
        <v/>
      </c>
      <c r="J544" s="8" t="n"/>
      <c r="K544" s="9" t="n"/>
      <c r="L544" s="8" t="n"/>
      <c r="M544" s="9" t="n"/>
      <c r="N544" s="8" t="n"/>
      <c r="O544" s="9" t="n"/>
      <c r="P544" s="12">
        <f>IF(C544="","",C544-SUM(K544,M544,O544))</f>
        <v/>
      </c>
      <c r="Q544" s="13">
        <f>IF(A544="","",IF(P544&lt;=0,"eingelöst",IF(AND(I544&lt;&gt;"",TODAY()&gt;I544),"abgelaufen",IF(P544&lt;C544,"teilweise","offen"))))</f>
        <v/>
      </c>
    </row>
    <row r="545">
      <c r="A545" s="7" t="n"/>
      <c r="B545" s="8" t="n"/>
      <c r="C545" s="9" t="n"/>
      <c r="D545" s="10" t="n"/>
      <c r="E545" s="10" t="n"/>
      <c r="F545" s="10" t="n"/>
      <c r="G545" s="10" t="n"/>
      <c r="H545" s="10" t="n"/>
      <c r="I545" s="11">
        <f>IF(B545="","",DATE(YEAR(B545)+3,12,31))</f>
        <v/>
      </c>
      <c r="J545" s="8" t="n"/>
      <c r="K545" s="9" t="n"/>
      <c r="L545" s="8" t="n"/>
      <c r="M545" s="9" t="n"/>
      <c r="N545" s="8" t="n"/>
      <c r="O545" s="9" t="n"/>
      <c r="P545" s="12">
        <f>IF(C545="","",C545-SUM(K545,M545,O545))</f>
        <v/>
      </c>
      <c r="Q545" s="13">
        <f>IF(A545="","",IF(P545&lt;=0,"eingelöst",IF(AND(I545&lt;&gt;"",TODAY()&gt;I545),"abgelaufen",IF(P545&lt;C545,"teilweise","offen"))))</f>
        <v/>
      </c>
    </row>
    <row r="546">
      <c r="A546" s="7" t="n"/>
      <c r="B546" s="8" t="n"/>
      <c r="C546" s="9" t="n"/>
      <c r="D546" s="10" t="n"/>
      <c r="E546" s="10" t="n"/>
      <c r="F546" s="10" t="n"/>
      <c r="G546" s="10" t="n"/>
      <c r="H546" s="10" t="n"/>
      <c r="I546" s="11">
        <f>IF(B546="","",DATE(YEAR(B546)+3,12,31))</f>
        <v/>
      </c>
      <c r="J546" s="8" t="n"/>
      <c r="K546" s="9" t="n"/>
      <c r="L546" s="8" t="n"/>
      <c r="M546" s="9" t="n"/>
      <c r="N546" s="8" t="n"/>
      <c r="O546" s="9" t="n"/>
      <c r="P546" s="12">
        <f>IF(C546="","",C546-SUM(K546,M546,O546))</f>
        <v/>
      </c>
      <c r="Q546" s="13">
        <f>IF(A546="","",IF(P546&lt;=0,"eingelöst",IF(AND(I546&lt;&gt;"",TODAY()&gt;I546),"abgelaufen",IF(P546&lt;C546,"teilweise","offen"))))</f>
        <v/>
      </c>
    </row>
    <row r="547">
      <c r="A547" s="7" t="n"/>
      <c r="B547" s="8" t="n"/>
      <c r="C547" s="9" t="n"/>
      <c r="D547" s="10" t="n"/>
      <c r="E547" s="10" t="n"/>
      <c r="F547" s="10" t="n"/>
      <c r="G547" s="10" t="n"/>
      <c r="H547" s="10" t="n"/>
      <c r="I547" s="11">
        <f>IF(B547="","",DATE(YEAR(B547)+3,12,31))</f>
        <v/>
      </c>
      <c r="J547" s="8" t="n"/>
      <c r="K547" s="9" t="n"/>
      <c r="L547" s="8" t="n"/>
      <c r="M547" s="9" t="n"/>
      <c r="N547" s="8" t="n"/>
      <c r="O547" s="9" t="n"/>
      <c r="P547" s="12">
        <f>IF(C547="","",C547-SUM(K547,M547,O547))</f>
        <v/>
      </c>
      <c r="Q547" s="13">
        <f>IF(A547="","",IF(P547&lt;=0,"eingelöst",IF(AND(I547&lt;&gt;"",TODAY()&gt;I547),"abgelaufen",IF(P547&lt;C547,"teilweise","offen"))))</f>
        <v/>
      </c>
    </row>
    <row r="548">
      <c r="A548" s="7" t="n"/>
      <c r="B548" s="8" t="n"/>
      <c r="C548" s="9" t="n"/>
      <c r="D548" s="10" t="n"/>
      <c r="E548" s="10" t="n"/>
      <c r="F548" s="10" t="n"/>
      <c r="G548" s="10" t="n"/>
      <c r="H548" s="10" t="n"/>
      <c r="I548" s="11">
        <f>IF(B548="","",DATE(YEAR(B548)+3,12,31))</f>
        <v/>
      </c>
      <c r="J548" s="8" t="n"/>
      <c r="K548" s="9" t="n"/>
      <c r="L548" s="8" t="n"/>
      <c r="M548" s="9" t="n"/>
      <c r="N548" s="8" t="n"/>
      <c r="O548" s="9" t="n"/>
      <c r="P548" s="12">
        <f>IF(C548="","",C548-SUM(K548,M548,O548))</f>
        <v/>
      </c>
      <c r="Q548" s="13">
        <f>IF(A548="","",IF(P548&lt;=0,"eingelöst",IF(AND(I548&lt;&gt;"",TODAY()&gt;I548),"abgelaufen",IF(P548&lt;C548,"teilweise","offen"))))</f>
        <v/>
      </c>
    </row>
    <row r="549">
      <c r="A549" s="7" t="n"/>
      <c r="B549" s="8" t="n"/>
      <c r="C549" s="9" t="n"/>
      <c r="D549" s="10" t="n"/>
      <c r="E549" s="10" t="n"/>
      <c r="F549" s="10" t="n"/>
      <c r="G549" s="10" t="n"/>
      <c r="H549" s="10" t="n"/>
      <c r="I549" s="11">
        <f>IF(B549="","",DATE(YEAR(B549)+3,12,31))</f>
        <v/>
      </c>
      <c r="J549" s="8" t="n"/>
      <c r="K549" s="9" t="n"/>
      <c r="L549" s="8" t="n"/>
      <c r="M549" s="9" t="n"/>
      <c r="N549" s="8" t="n"/>
      <c r="O549" s="9" t="n"/>
      <c r="P549" s="12">
        <f>IF(C549="","",C549-SUM(K549,M549,O549))</f>
        <v/>
      </c>
      <c r="Q549" s="13">
        <f>IF(A549="","",IF(P549&lt;=0,"eingelöst",IF(AND(I549&lt;&gt;"",TODAY()&gt;I549),"abgelaufen",IF(P549&lt;C549,"teilweise","offen"))))</f>
        <v/>
      </c>
    </row>
    <row r="550">
      <c r="A550" s="7" t="n"/>
      <c r="B550" s="8" t="n"/>
      <c r="C550" s="9" t="n"/>
      <c r="D550" s="10" t="n"/>
      <c r="E550" s="10" t="n"/>
      <c r="F550" s="10" t="n"/>
      <c r="G550" s="10" t="n"/>
      <c r="H550" s="10" t="n"/>
      <c r="I550" s="11">
        <f>IF(B550="","",DATE(YEAR(B550)+3,12,31))</f>
        <v/>
      </c>
      <c r="J550" s="8" t="n"/>
      <c r="K550" s="9" t="n"/>
      <c r="L550" s="8" t="n"/>
      <c r="M550" s="9" t="n"/>
      <c r="N550" s="8" t="n"/>
      <c r="O550" s="9" t="n"/>
      <c r="P550" s="12">
        <f>IF(C550="","",C550-SUM(K550,M550,O550))</f>
        <v/>
      </c>
      <c r="Q550" s="13">
        <f>IF(A550="","",IF(P550&lt;=0,"eingelöst",IF(AND(I550&lt;&gt;"",TODAY()&gt;I550),"abgelaufen",IF(P550&lt;C550,"teilweise","offen"))))</f>
        <v/>
      </c>
    </row>
    <row r="551">
      <c r="A551" s="7" t="n"/>
      <c r="B551" s="8" t="n"/>
      <c r="C551" s="9" t="n"/>
      <c r="D551" s="10" t="n"/>
      <c r="E551" s="10" t="n"/>
      <c r="F551" s="10" t="n"/>
      <c r="G551" s="10" t="n"/>
      <c r="H551" s="10" t="n"/>
      <c r="I551" s="11">
        <f>IF(B551="","",DATE(YEAR(B551)+3,12,31))</f>
        <v/>
      </c>
      <c r="J551" s="8" t="n"/>
      <c r="K551" s="9" t="n"/>
      <c r="L551" s="8" t="n"/>
      <c r="M551" s="9" t="n"/>
      <c r="N551" s="8" t="n"/>
      <c r="O551" s="9" t="n"/>
      <c r="P551" s="12">
        <f>IF(C551="","",C551-SUM(K551,M551,O551))</f>
        <v/>
      </c>
      <c r="Q551" s="13">
        <f>IF(A551="","",IF(P551&lt;=0,"eingelöst",IF(AND(I551&lt;&gt;"",TODAY()&gt;I551),"abgelaufen",IF(P551&lt;C551,"teilweise","offen"))))</f>
        <v/>
      </c>
    </row>
    <row r="552">
      <c r="A552" s="7" t="n"/>
      <c r="B552" s="8" t="n"/>
      <c r="C552" s="9" t="n"/>
      <c r="D552" s="10" t="n"/>
      <c r="E552" s="10" t="n"/>
      <c r="F552" s="10" t="n"/>
      <c r="G552" s="10" t="n"/>
      <c r="H552" s="10" t="n"/>
      <c r="I552" s="11">
        <f>IF(B552="","",DATE(YEAR(B552)+3,12,31))</f>
        <v/>
      </c>
      <c r="J552" s="8" t="n"/>
      <c r="K552" s="9" t="n"/>
      <c r="L552" s="8" t="n"/>
      <c r="M552" s="9" t="n"/>
      <c r="N552" s="8" t="n"/>
      <c r="O552" s="9" t="n"/>
      <c r="P552" s="12">
        <f>IF(C552="","",C552-SUM(K552,M552,O552))</f>
        <v/>
      </c>
      <c r="Q552" s="13">
        <f>IF(A552="","",IF(P552&lt;=0,"eingelöst",IF(AND(I552&lt;&gt;"",TODAY()&gt;I552),"abgelaufen",IF(P552&lt;C552,"teilweise","offen"))))</f>
        <v/>
      </c>
    </row>
    <row r="553">
      <c r="A553" s="7" t="n"/>
      <c r="B553" s="8" t="n"/>
      <c r="C553" s="9" t="n"/>
      <c r="D553" s="10" t="n"/>
      <c r="E553" s="10" t="n"/>
      <c r="F553" s="10" t="n"/>
      <c r="G553" s="10" t="n"/>
      <c r="H553" s="10" t="n"/>
      <c r="I553" s="11">
        <f>IF(B553="","",DATE(YEAR(B553)+3,12,31))</f>
        <v/>
      </c>
      <c r="J553" s="8" t="n"/>
      <c r="K553" s="9" t="n"/>
      <c r="L553" s="8" t="n"/>
      <c r="M553" s="9" t="n"/>
      <c r="N553" s="8" t="n"/>
      <c r="O553" s="9" t="n"/>
      <c r="P553" s="12">
        <f>IF(C553="","",C553-SUM(K553,M553,O553))</f>
        <v/>
      </c>
      <c r="Q553" s="13">
        <f>IF(A553="","",IF(P553&lt;=0,"eingelöst",IF(AND(I553&lt;&gt;"",TODAY()&gt;I553),"abgelaufen",IF(P553&lt;C553,"teilweise","offen"))))</f>
        <v/>
      </c>
    </row>
    <row r="554">
      <c r="A554" s="7" t="n"/>
      <c r="B554" s="8" t="n"/>
      <c r="C554" s="9" t="n"/>
      <c r="D554" s="10" t="n"/>
      <c r="E554" s="10" t="n"/>
      <c r="F554" s="10" t="n"/>
      <c r="G554" s="10" t="n"/>
      <c r="H554" s="10" t="n"/>
      <c r="I554" s="11">
        <f>IF(B554="","",DATE(YEAR(B554)+3,12,31))</f>
        <v/>
      </c>
      <c r="J554" s="8" t="n"/>
      <c r="K554" s="9" t="n"/>
      <c r="L554" s="8" t="n"/>
      <c r="M554" s="9" t="n"/>
      <c r="N554" s="8" t="n"/>
      <c r="O554" s="9" t="n"/>
      <c r="P554" s="12">
        <f>IF(C554="","",C554-SUM(K554,M554,O554))</f>
        <v/>
      </c>
      <c r="Q554" s="13">
        <f>IF(A554="","",IF(P554&lt;=0,"eingelöst",IF(AND(I554&lt;&gt;"",TODAY()&gt;I554),"abgelaufen",IF(P554&lt;C554,"teilweise","offen"))))</f>
        <v/>
      </c>
    </row>
    <row r="555">
      <c r="A555" s="7" t="n"/>
      <c r="B555" s="8" t="n"/>
      <c r="C555" s="9" t="n"/>
      <c r="D555" s="10" t="n"/>
      <c r="E555" s="10" t="n"/>
      <c r="F555" s="10" t="n"/>
      <c r="G555" s="10" t="n"/>
      <c r="H555" s="10" t="n"/>
      <c r="I555" s="11">
        <f>IF(B555="","",DATE(YEAR(B555)+3,12,31))</f>
        <v/>
      </c>
      <c r="J555" s="8" t="n"/>
      <c r="K555" s="9" t="n"/>
      <c r="L555" s="8" t="n"/>
      <c r="M555" s="9" t="n"/>
      <c r="N555" s="8" t="n"/>
      <c r="O555" s="9" t="n"/>
      <c r="P555" s="12">
        <f>IF(C555="","",C555-SUM(K555,M555,O555))</f>
        <v/>
      </c>
      <c r="Q555" s="13">
        <f>IF(A555="","",IF(P555&lt;=0,"eingelöst",IF(AND(I555&lt;&gt;"",TODAY()&gt;I555),"abgelaufen",IF(P555&lt;C555,"teilweise","offen"))))</f>
        <v/>
      </c>
    </row>
    <row r="556">
      <c r="A556" s="7" t="n"/>
      <c r="B556" s="8" t="n"/>
      <c r="C556" s="9" t="n"/>
      <c r="D556" s="10" t="n"/>
      <c r="E556" s="10" t="n"/>
      <c r="F556" s="10" t="n"/>
      <c r="G556" s="10" t="n"/>
      <c r="H556" s="10" t="n"/>
      <c r="I556" s="11">
        <f>IF(B556="","",DATE(YEAR(B556)+3,12,31))</f>
        <v/>
      </c>
      <c r="J556" s="8" t="n"/>
      <c r="K556" s="9" t="n"/>
      <c r="L556" s="8" t="n"/>
      <c r="M556" s="9" t="n"/>
      <c r="N556" s="8" t="n"/>
      <c r="O556" s="9" t="n"/>
      <c r="P556" s="12">
        <f>IF(C556="","",C556-SUM(K556,M556,O556))</f>
        <v/>
      </c>
      <c r="Q556" s="13">
        <f>IF(A556="","",IF(P556&lt;=0,"eingelöst",IF(AND(I556&lt;&gt;"",TODAY()&gt;I556),"abgelaufen",IF(P556&lt;C556,"teilweise","offen"))))</f>
        <v/>
      </c>
    </row>
    <row r="557">
      <c r="A557" s="7" t="n"/>
      <c r="B557" s="8" t="n"/>
      <c r="C557" s="9" t="n"/>
      <c r="D557" s="10" t="n"/>
      <c r="E557" s="10" t="n"/>
      <c r="F557" s="10" t="n"/>
      <c r="G557" s="10" t="n"/>
      <c r="H557" s="10" t="n"/>
      <c r="I557" s="11">
        <f>IF(B557="","",DATE(YEAR(B557)+3,12,31))</f>
        <v/>
      </c>
      <c r="J557" s="8" t="n"/>
      <c r="K557" s="9" t="n"/>
      <c r="L557" s="8" t="n"/>
      <c r="M557" s="9" t="n"/>
      <c r="N557" s="8" t="n"/>
      <c r="O557" s="9" t="n"/>
      <c r="P557" s="12">
        <f>IF(C557="","",C557-SUM(K557,M557,O557))</f>
        <v/>
      </c>
      <c r="Q557" s="13">
        <f>IF(A557="","",IF(P557&lt;=0,"eingelöst",IF(AND(I557&lt;&gt;"",TODAY()&gt;I557),"abgelaufen",IF(P557&lt;C557,"teilweise","offen"))))</f>
        <v/>
      </c>
    </row>
    <row r="558">
      <c r="A558" s="7" t="n"/>
      <c r="B558" s="8" t="n"/>
      <c r="C558" s="9" t="n"/>
      <c r="D558" s="10" t="n"/>
      <c r="E558" s="10" t="n"/>
      <c r="F558" s="10" t="n"/>
      <c r="G558" s="10" t="n"/>
      <c r="H558" s="10" t="n"/>
      <c r="I558" s="11">
        <f>IF(B558="","",DATE(YEAR(B558)+3,12,31))</f>
        <v/>
      </c>
      <c r="J558" s="8" t="n"/>
      <c r="K558" s="9" t="n"/>
      <c r="L558" s="8" t="n"/>
      <c r="M558" s="9" t="n"/>
      <c r="N558" s="8" t="n"/>
      <c r="O558" s="9" t="n"/>
      <c r="P558" s="12">
        <f>IF(C558="","",C558-SUM(K558,M558,O558))</f>
        <v/>
      </c>
      <c r="Q558" s="13">
        <f>IF(A558="","",IF(P558&lt;=0,"eingelöst",IF(AND(I558&lt;&gt;"",TODAY()&gt;I558),"abgelaufen",IF(P558&lt;C558,"teilweise","offen"))))</f>
        <v/>
      </c>
    </row>
    <row r="559">
      <c r="A559" s="7" t="n"/>
      <c r="B559" s="8" t="n"/>
      <c r="C559" s="9" t="n"/>
      <c r="D559" s="10" t="n"/>
      <c r="E559" s="10" t="n"/>
      <c r="F559" s="10" t="n"/>
      <c r="G559" s="10" t="n"/>
      <c r="H559" s="10" t="n"/>
      <c r="I559" s="11">
        <f>IF(B559="","",DATE(YEAR(B559)+3,12,31))</f>
        <v/>
      </c>
      <c r="J559" s="8" t="n"/>
      <c r="K559" s="9" t="n"/>
      <c r="L559" s="8" t="n"/>
      <c r="M559" s="9" t="n"/>
      <c r="N559" s="8" t="n"/>
      <c r="O559" s="9" t="n"/>
      <c r="P559" s="12">
        <f>IF(C559="","",C559-SUM(K559,M559,O559))</f>
        <v/>
      </c>
      <c r="Q559" s="13">
        <f>IF(A559="","",IF(P559&lt;=0,"eingelöst",IF(AND(I559&lt;&gt;"",TODAY()&gt;I559),"abgelaufen",IF(P559&lt;C559,"teilweise","offen"))))</f>
        <v/>
      </c>
    </row>
    <row r="560">
      <c r="A560" s="7" t="n"/>
      <c r="B560" s="8" t="n"/>
      <c r="C560" s="9" t="n"/>
      <c r="D560" s="10" t="n"/>
      <c r="E560" s="10" t="n"/>
      <c r="F560" s="10" t="n"/>
      <c r="G560" s="10" t="n"/>
      <c r="H560" s="10" t="n"/>
      <c r="I560" s="11">
        <f>IF(B560="","",DATE(YEAR(B560)+3,12,31))</f>
        <v/>
      </c>
      <c r="J560" s="8" t="n"/>
      <c r="K560" s="9" t="n"/>
      <c r="L560" s="8" t="n"/>
      <c r="M560" s="9" t="n"/>
      <c r="N560" s="8" t="n"/>
      <c r="O560" s="9" t="n"/>
      <c r="P560" s="12">
        <f>IF(C560="","",C560-SUM(K560,M560,O560))</f>
        <v/>
      </c>
      <c r="Q560" s="13">
        <f>IF(A560="","",IF(P560&lt;=0,"eingelöst",IF(AND(I560&lt;&gt;"",TODAY()&gt;I560),"abgelaufen",IF(P560&lt;C560,"teilweise","offen"))))</f>
        <v/>
      </c>
    </row>
    <row r="561">
      <c r="A561" s="7" t="n"/>
      <c r="B561" s="8" t="n"/>
      <c r="C561" s="9" t="n"/>
      <c r="D561" s="10" t="n"/>
      <c r="E561" s="10" t="n"/>
      <c r="F561" s="10" t="n"/>
      <c r="G561" s="10" t="n"/>
      <c r="H561" s="10" t="n"/>
      <c r="I561" s="11">
        <f>IF(B561="","",DATE(YEAR(B561)+3,12,31))</f>
        <v/>
      </c>
      <c r="J561" s="8" t="n"/>
      <c r="K561" s="9" t="n"/>
      <c r="L561" s="8" t="n"/>
      <c r="M561" s="9" t="n"/>
      <c r="N561" s="8" t="n"/>
      <c r="O561" s="9" t="n"/>
      <c r="P561" s="12">
        <f>IF(C561="","",C561-SUM(K561,M561,O561))</f>
        <v/>
      </c>
      <c r="Q561" s="13">
        <f>IF(A561="","",IF(P561&lt;=0,"eingelöst",IF(AND(I561&lt;&gt;"",TODAY()&gt;I561),"abgelaufen",IF(P561&lt;C561,"teilweise","offen"))))</f>
        <v/>
      </c>
    </row>
    <row r="562">
      <c r="A562" s="7" t="n"/>
      <c r="B562" s="8" t="n"/>
      <c r="C562" s="9" t="n"/>
      <c r="D562" s="10" t="n"/>
      <c r="E562" s="10" t="n"/>
      <c r="F562" s="10" t="n"/>
      <c r="G562" s="10" t="n"/>
      <c r="H562" s="10" t="n"/>
      <c r="I562" s="11">
        <f>IF(B562="","",DATE(YEAR(B562)+3,12,31))</f>
        <v/>
      </c>
      <c r="J562" s="8" t="n"/>
      <c r="K562" s="9" t="n"/>
      <c r="L562" s="8" t="n"/>
      <c r="M562" s="9" t="n"/>
      <c r="N562" s="8" t="n"/>
      <c r="O562" s="9" t="n"/>
      <c r="P562" s="12">
        <f>IF(C562="","",C562-SUM(K562,M562,O562))</f>
        <v/>
      </c>
      <c r="Q562" s="13">
        <f>IF(A562="","",IF(P562&lt;=0,"eingelöst",IF(AND(I562&lt;&gt;"",TODAY()&gt;I562),"abgelaufen",IF(P562&lt;C562,"teilweise","offen"))))</f>
        <v/>
      </c>
    </row>
    <row r="563">
      <c r="A563" s="7" t="n"/>
      <c r="B563" s="8" t="n"/>
      <c r="C563" s="9" t="n"/>
      <c r="D563" s="10" t="n"/>
      <c r="E563" s="10" t="n"/>
      <c r="F563" s="10" t="n"/>
      <c r="G563" s="10" t="n"/>
      <c r="H563" s="10" t="n"/>
      <c r="I563" s="11">
        <f>IF(B563="","",DATE(YEAR(B563)+3,12,31))</f>
        <v/>
      </c>
      <c r="J563" s="8" t="n"/>
      <c r="K563" s="9" t="n"/>
      <c r="L563" s="8" t="n"/>
      <c r="M563" s="9" t="n"/>
      <c r="N563" s="8" t="n"/>
      <c r="O563" s="9" t="n"/>
      <c r="P563" s="12">
        <f>IF(C563="","",C563-SUM(K563,M563,O563))</f>
        <v/>
      </c>
      <c r="Q563" s="13">
        <f>IF(A563="","",IF(P563&lt;=0,"eingelöst",IF(AND(I563&lt;&gt;"",TODAY()&gt;I563),"abgelaufen",IF(P563&lt;C563,"teilweise","offen"))))</f>
        <v/>
      </c>
    </row>
    <row r="564">
      <c r="A564" s="7" t="n"/>
      <c r="B564" s="8" t="n"/>
      <c r="C564" s="9" t="n"/>
      <c r="D564" s="10" t="n"/>
      <c r="E564" s="10" t="n"/>
      <c r="F564" s="10" t="n"/>
      <c r="G564" s="10" t="n"/>
      <c r="H564" s="10" t="n"/>
      <c r="I564" s="11">
        <f>IF(B564="","",DATE(YEAR(B564)+3,12,31))</f>
        <v/>
      </c>
      <c r="J564" s="8" t="n"/>
      <c r="K564" s="9" t="n"/>
      <c r="L564" s="8" t="n"/>
      <c r="M564" s="9" t="n"/>
      <c r="N564" s="8" t="n"/>
      <c r="O564" s="9" t="n"/>
      <c r="P564" s="12">
        <f>IF(C564="","",C564-SUM(K564,M564,O564))</f>
        <v/>
      </c>
      <c r="Q564" s="13">
        <f>IF(A564="","",IF(P564&lt;=0,"eingelöst",IF(AND(I564&lt;&gt;"",TODAY()&gt;I564),"abgelaufen",IF(P564&lt;C564,"teilweise","offen"))))</f>
        <v/>
      </c>
    </row>
    <row r="565">
      <c r="A565" s="7" t="n"/>
      <c r="B565" s="8" t="n"/>
      <c r="C565" s="9" t="n"/>
      <c r="D565" s="10" t="n"/>
      <c r="E565" s="10" t="n"/>
      <c r="F565" s="10" t="n"/>
      <c r="G565" s="10" t="n"/>
      <c r="H565" s="10" t="n"/>
      <c r="I565" s="11">
        <f>IF(B565="","",DATE(YEAR(B565)+3,12,31))</f>
        <v/>
      </c>
      <c r="J565" s="8" t="n"/>
      <c r="K565" s="9" t="n"/>
      <c r="L565" s="8" t="n"/>
      <c r="M565" s="9" t="n"/>
      <c r="N565" s="8" t="n"/>
      <c r="O565" s="9" t="n"/>
      <c r="P565" s="12">
        <f>IF(C565="","",C565-SUM(K565,M565,O565))</f>
        <v/>
      </c>
      <c r="Q565" s="13">
        <f>IF(A565="","",IF(P565&lt;=0,"eingelöst",IF(AND(I565&lt;&gt;"",TODAY()&gt;I565),"abgelaufen",IF(P565&lt;C565,"teilweise","offen"))))</f>
        <v/>
      </c>
    </row>
    <row r="566">
      <c r="A566" s="7" t="n"/>
      <c r="B566" s="8" t="n"/>
      <c r="C566" s="9" t="n"/>
      <c r="D566" s="10" t="n"/>
      <c r="E566" s="10" t="n"/>
      <c r="F566" s="10" t="n"/>
      <c r="G566" s="10" t="n"/>
      <c r="H566" s="10" t="n"/>
      <c r="I566" s="11">
        <f>IF(B566="","",DATE(YEAR(B566)+3,12,31))</f>
        <v/>
      </c>
      <c r="J566" s="8" t="n"/>
      <c r="K566" s="9" t="n"/>
      <c r="L566" s="8" t="n"/>
      <c r="M566" s="9" t="n"/>
      <c r="N566" s="8" t="n"/>
      <c r="O566" s="9" t="n"/>
      <c r="P566" s="12">
        <f>IF(C566="","",C566-SUM(K566,M566,O566))</f>
        <v/>
      </c>
      <c r="Q566" s="13">
        <f>IF(A566="","",IF(P566&lt;=0,"eingelöst",IF(AND(I566&lt;&gt;"",TODAY()&gt;I566),"abgelaufen",IF(P566&lt;C566,"teilweise","offen"))))</f>
        <v/>
      </c>
    </row>
    <row r="567">
      <c r="A567" s="7" t="n"/>
      <c r="B567" s="8" t="n"/>
      <c r="C567" s="9" t="n"/>
      <c r="D567" s="10" t="n"/>
      <c r="E567" s="10" t="n"/>
      <c r="F567" s="10" t="n"/>
      <c r="G567" s="10" t="n"/>
      <c r="H567" s="10" t="n"/>
      <c r="I567" s="11">
        <f>IF(B567="","",DATE(YEAR(B567)+3,12,31))</f>
        <v/>
      </c>
      <c r="J567" s="8" t="n"/>
      <c r="K567" s="9" t="n"/>
      <c r="L567" s="8" t="n"/>
      <c r="M567" s="9" t="n"/>
      <c r="N567" s="8" t="n"/>
      <c r="O567" s="9" t="n"/>
      <c r="P567" s="12">
        <f>IF(C567="","",C567-SUM(K567,M567,O567))</f>
        <v/>
      </c>
      <c r="Q567" s="13">
        <f>IF(A567="","",IF(P567&lt;=0,"eingelöst",IF(AND(I567&lt;&gt;"",TODAY()&gt;I567),"abgelaufen",IF(P567&lt;C567,"teilweise","offen"))))</f>
        <v/>
      </c>
    </row>
    <row r="568">
      <c r="A568" s="7" t="n"/>
      <c r="B568" s="8" t="n"/>
      <c r="C568" s="9" t="n"/>
      <c r="D568" s="10" t="n"/>
      <c r="E568" s="10" t="n"/>
      <c r="F568" s="10" t="n"/>
      <c r="G568" s="10" t="n"/>
      <c r="H568" s="10" t="n"/>
      <c r="I568" s="11">
        <f>IF(B568="","",DATE(YEAR(B568)+3,12,31))</f>
        <v/>
      </c>
      <c r="J568" s="8" t="n"/>
      <c r="K568" s="9" t="n"/>
      <c r="L568" s="8" t="n"/>
      <c r="M568" s="9" t="n"/>
      <c r="N568" s="8" t="n"/>
      <c r="O568" s="9" t="n"/>
      <c r="P568" s="12">
        <f>IF(C568="","",C568-SUM(K568,M568,O568))</f>
        <v/>
      </c>
      <c r="Q568" s="13">
        <f>IF(A568="","",IF(P568&lt;=0,"eingelöst",IF(AND(I568&lt;&gt;"",TODAY()&gt;I568),"abgelaufen",IF(P568&lt;C568,"teilweise","offen"))))</f>
        <v/>
      </c>
    </row>
    <row r="569">
      <c r="A569" s="7" t="n"/>
      <c r="B569" s="8" t="n"/>
      <c r="C569" s="9" t="n"/>
      <c r="D569" s="10" t="n"/>
      <c r="E569" s="10" t="n"/>
      <c r="F569" s="10" t="n"/>
      <c r="G569" s="10" t="n"/>
      <c r="H569" s="10" t="n"/>
      <c r="I569" s="11">
        <f>IF(B569="","",DATE(YEAR(B569)+3,12,31))</f>
        <v/>
      </c>
      <c r="J569" s="8" t="n"/>
      <c r="K569" s="9" t="n"/>
      <c r="L569" s="8" t="n"/>
      <c r="M569" s="9" t="n"/>
      <c r="N569" s="8" t="n"/>
      <c r="O569" s="9" t="n"/>
      <c r="P569" s="12">
        <f>IF(C569="","",C569-SUM(K569,M569,O569))</f>
        <v/>
      </c>
      <c r="Q569" s="13">
        <f>IF(A569="","",IF(P569&lt;=0,"eingelöst",IF(AND(I569&lt;&gt;"",TODAY()&gt;I569),"abgelaufen",IF(P569&lt;C569,"teilweise","offen"))))</f>
        <v/>
      </c>
    </row>
    <row r="570">
      <c r="A570" s="7" t="n"/>
      <c r="B570" s="8" t="n"/>
      <c r="C570" s="9" t="n"/>
      <c r="D570" s="10" t="n"/>
      <c r="E570" s="10" t="n"/>
      <c r="F570" s="10" t="n"/>
      <c r="G570" s="10" t="n"/>
      <c r="H570" s="10" t="n"/>
      <c r="I570" s="11">
        <f>IF(B570="","",DATE(YEAR(B570)+3,12,31))</f>
        <v/>
      </c>
      <c r="J570" s="8" t="n"/>
      <c r="K570" s="9" t="n"/>
      <c r="L570" s="8" t="n"/>
      <c r="M570" s="9" t="n"/>
      <c r="N570" s="8" t="n"/>
      <c r="O570" s="9" t="n"/>
      <c r="P570" s="12">
        <f>IF(C570="","",C570-SUM(K570,M570,O570))</f>
        <v/>
      </c>
      <c r="Q570" s="13">
        <f>IF(A570="","",IF(P570&lt;=0,"eingelöst",IF(AND(I570&lt;&gt;"",TODAY()&gt;I570),"abgelaufen",IF(P570&lt;C570,"teilweise","offen"))))</f>
        <v/>
      </c>
    </row>
    <row r="571">
      <c r="A571" s="7" t="n"/>
      <c r="B571" s="8" t="n"/>
      <c r="C571" s="9" t="n"/>
      <c r="D571" s="10" t="n"/>
      <c r="E571" s="10" t="n"/>
      <c r="F571" s="10" t="n"/>
      <c r="G571" s="10" t="n"/>
      <c r="H571" s="10" t="n"/>
      <c r="I571" s="11">
        <f>IF(B571="","",DATE(YEAR(B571)+3,12,31))</f>
        <v/>
      </c>
      <c r="J571" s="8" t="n"/>
      <c r="K571" s="9" t="n"/>
      <c r="L571" s="8" t="n"/>
      <c r="M571" s="9" t="n"/>
      <c r="N571" s="8" t="n"/>
      <c r="O571" s="9" t="n"/>
      <c r="P571" s="12">
        <f>IF(C571="","",C571-SUM(K571,M571,O571))</f>
        <v/>
      </c>
      <c r="Q571" s="13">
        <f>IF(A571="","",IF(P571&lt;=0,"eingelöst",IF(AND(I571&lt;&gt;"",TODAY()&gt;I571),"abgelaufen",IF(P571&lt;C571,"teilweise","offen"))))</f>
        <v/>
      </c>
    </row>
    <row r="572">
      <c r="A572" s="7" t="n"/>
      <c r="B572" s="8" t="n"/>
      <c r="C572" s="9" t="n"/>
      <c r="D572" s="10" t="n"/>
      <c r="E572" s="10" t="n"/>
      <c r="F572" s="10" t="n"/>
      <c r="G572" s="10" t="n"/>
      <c r="H572" s="10" t="n"/>
      <c r="I572" s="11">
        <f>IF(B572="","",DATE(YEAR(B572)+3,12,31))</f>
        <v/>
      </c>
      <c r="J572" s="8" t="n"/>
      <c r="K572" s="9" t="n"/>
      <c r="L572" s="8" t="n"/>
      <c r="M572" s="9" t="n"/>
      <c r="N572" s="8" t="n"/>
      <c r="O572" s="9" t="n"/>
      <c r="P572" s="12">
        <f>IF(C572="","",C572-SUM(K572,M572,O572))</f>
        <v/>
      </c>
      <c r="Q572" s="13">
        <f>IF(A572="","",IF(P572&lt;=0,"eingelöst",IF(AND(I572&lt;&gt;"",TODAY()&gt;I572),"abgelaufen",IF(P572&lt;C572,"teilweise","offen"))))</f>
        <v/>
      </c>
    </row>
    <row r="573">
      <c r="A573" s="7" t="n"/>
      <c r="B573" s="8" t="n"/>
      <c r="C573" s="9" t="n"/>
      <c r="D573" s="10" t="n"/>
      <c r="E573" s="10" t="n"/>
      <c r="F573" s="10" t="n"/>
      <c r="G573" s="10" t="n"/>
      <c r="H573" s="10" t="n"/>
      <c r="I573" s="11">
        <f>IF(B573="","",DATE(YEAR(B573)+3,12,31))</f>
        <v/>
      </c>
      <c r="J573" s="8" t="n"/>
      <c r="K573" s="9" t="n"/>
      <c r="L573" s="8" t="n"/>
      <c r="M573" s="9" t="n"/>
      <c r="N573" s="8" t="n"/>
      <c r="O573" s="9" t="n"/>
      <c r="P573" s="12">
        <f>IF(C573="","",C573-SUM(K573,M573,O573))</f>
        <v/>
      </c>
      <c r="Q573" s="13">
        <f>IF(A573="","",IF(P573&lt;=0,"eingelöst",IF(AND(I573&lt;&gt;"",TODAY()&gt;I573),"abgelaufen",IF(P573&lt;C573,"teilweise","offen"))))</f>
        <v/>
      </c>
    </row>
    <row r="574">
      <c r="A574" s="7" t="n"/>
      <c r="B574" s="8" t="n"/>
      <c r="C574" s="9" t="n"/>
      <c r="D574" s="10" t="n"/>
      <c r="E574" s="10" t="n"/>
      <c r="F574" s="10" t="n"/>
      <c r="G574" s="10" t="n"/>
      <c r="H574" s="10" t="n"/>
      <c r="I574" s="11">
        <f>IF(B574="","",DATE(YEAR(B574)+3,12,31))</f>
        <v/>
      </c>
      <c r="J574" s="8" t="n"/>
      <c r="K574" s="9" t="n"/>
      <c r="L574" s="8" t="n"/>
      <c r="M574" s="9" t="n"/>
      <c r="N574" s="8" t="n"/>
      <c r="O574" s="9" t="n"/>
      <c r="P574" s="12">
        <f>IF(C574="","",C574-SUM(K574,M574,O574))</f>
        <v/>
      </c>
      <c r="Q574" s="13">
        <f>IF(A574="","",IF(P574&lt;=0,"eingelöst",IF(AND(I574&lt;&gt;"",TODAY()&gt;I574),"abgelaufen",IF(P574&lt;C574,"teilweise","offen"))))</f>
        <v/>
      </c>
    </row>
    <row r="575">
      <c r="A575" s="7" t="n"/>
      <c r="B575" s="8" t="n"/>
      <c r="C575" s="9" t="n"/>
      <c r="D575" s="10" t="n"/>
      <c r="E575" s="10" t="n"/>
      <c r="F575" s="10" t="n"/>
      <c r="G575" s="10" t="n"/>
      <c r="H575" s="10" t="n"/>
      <c r="I575" s="11">
        <f>IF(B575="","",DATE(YEAR(B575)+3,12,31))</f>
        <v/>
      </c>
      <c r="J575" s="8" t="n"/>
      <c r="K575" s="9" t="n"/>
      <c r="L575" s="8" t="n"/>
      <c r="M575" s="9" t="n"/>
      <c r="N575" s="8" t="n"/>
      <c r="O575" s="9" t="n"/>
      <c r="P575" s="12">
        <f>IF(C575="","",C575-SUM(K575,M575,O575))</f>
        <v/>
      </c>
      <c r="Q575" s="13">
        <f>IF(A575="","",IF(P575&lt;=0,"eingelöst",IF(AND(I575&lt;&gt;"",TODAY()&gt;I575),"abgelaufen",IF(P575&lt;C575,"teilweise","offen"))))</f>
        <v/>
      </c>
    </row>
    <row r="576">
      <c r="A576" s="7" t="n"/>
      <c r="B576" s="8" t="n"/>
      <c r="C576" s="9" t="n"/>
      <c r="D576" s="10" t="n"/>
      <c r="E576" s="10" t="n"/>
      <c r="F576" s="10" t="n"/>
      <c r="G576" s="10" t="n"/>
      <c r="H576" s="10" t="n"/>
      <c r="I576" s="11">
        <f>IF(B576="","",DATE(YEAR(B576)+3,12,31))</f>
        <v/>
      </c>
      <c r="J576" s="8" t="n"/>
      <c r="K576" s="9" t="n"/>
      <c r="L576" s="8" t="n"/>
      <c r="M576" s="9" t="n"/>
      <c r="N576" s="8" t="n"/>
      <c r="O576" s="9" t="n"/>
      <c r="P576" s="12">
        <f>IF(C576="","",C576-SUM(K576,M576,O576))</f>
        <v/>
      </c>
      <c r="Q576" s="13">
        <f>IF(A576="","",IF(P576&lt;=0,"eingelöst",IF(AND(I576&lt;&gt;"",TODAY()&gt;I576),"abgelaufen",IF(P576&lt;C576,"teilweise","offen"))))</f>
        <v/>
      </c>
    </row>
    <row r="577">
      <c r="A577" s="7" t="n"/>
      <c r="B577" s="8" t="n"/>
      <c r="C577" s="9" t="n"/>
      <c r="D577" s="10" t="n"/>
      <c r="E577" s="10" t="n"/>
      <c r="F577" s="10" t="n"/>
      <c r="G577" s="10" t="n"/>
      <c r="H577" s="10" t="n"/>
      <c r="I577" s="11">
        <f>IF(B577="","",DATE(YEAR(B577)+3,12,31))</f>
        <v/>
      </c>
      <c r="J577" s="8" t="n"/>
      <c r="K577" s="9" t="n"/>
      <c r="L577" s="8" t="n"/>
      <c r="M577" s="9" t="n"/>
      <c r="N577" s="8" t="n"/>
      <c r="O577" s="9" t="n"/>
      <c r="P577" s="12">
        <f>IF(C577="","",C577-SUM(K577,M577,O577))</f>
        <v/>
      </c>
      <c r="Q577" s="13">
        <f>IF(A577="","",IF(P577&lt;=0,"eingelöst",IF(AND(I577&lt;&gt;"",TODAY()&gt;I577),"abgelaufen",IF(P577&lt;C577,"teilweise","offen"))))</f>
        <v/>
      </c>
    </row>
    <row r="578">
      <c r="A578" s="7" t="n"/>
      <c r="B578" s="8" t="n"/>
      <c r="C578" s="9" t="n"/>
      <c r="D578" s="10" t="n"/>
      <c r="E578" s="10" t="n"/>
      <c r="F578" s="10" t="n"/>
      <c r="G578" s="10" t="n"/>
      <c r="H578" s="10" t="n"/>
      <c r="I578" s="11">
        <f>IF(B578="","",DATE(YEAR(B578)+3,12,31))</f>
        <v/>
      </c>
      <c r="J578" s="8" t="n"/>
      <c r="K578" s="9" t="n"/>
      <c r="L578" s="8" t="n"/>
      <c r="M578" s="9" t="n"/>
      <c r="N578" s="8" t="n"/>
      <c r="O578" s="9" t="n"/>
      <c r="P578" s="12">
        <f>IF(C578="","",C578-SUM(K578,M578,O578))</f>
        <v/>
      </c>
      <c r="Q578" s="13">
        <f>IF(A578="","",IF(P578&lt;=0,"eingelöst",IF(AND(I578&lt;&gt;"",TODAY()&gt;I578),"abgelaufen",IF(P578&lt;C578,"teilweise","offen"))))</f>
        <v/>
      </c>
    </row>
    <row r="579">
      <c r="A579" s="7" t="n"/>
      <c r="B579" s="8" t="n"/>
      <c r="C579" s="9" t="n"/>
      <c r="D579" s="10" t="n"/>
      <c r="E579" s="10" t="n"/>
      <c r="F579" s="10" t="n"/>
      <c r="G579" s="10" t="n"/>
      <c r="H579" s="10" t="n"/>
      <c r="I579" s="11">
        <f>IF(B579="","",DATE(YEAR(B579)+3,12,31))</f>
        <v/>
      </c>
      <c r="J579" s="8" t="n"/>
      <c r="K579" s="9" t="n"/>
      <c r="L579" s="8" t="n"/>
      <c r="M579" s="9" t="n"/>
      <c r="N579" s="8" t="n"/>
      <c r="O579" s="9" t="n"/>
      <c r="P579" s="12">
        <f>IF(C579="","",C579-SUM(K579,M579,O579))</f>
        <v/>
      </c>
      <c r="Q579" s="13">
        <f>IF(A579="","",IF(P579&lt;=0,"eingelöst",IF(AND(I579&lt;&gt;"",TODAY()&gt;I579),"abgelaufen",IF(P579&lt;C579,"teilweise","offen"))))</f>
        <v/>
      </c>
    </row>
    <row r="580">
      <c r="A580" s="7" t="n"/>
      <c r="B580" s="8" t="n"/>
      <c r="C580" s="9" t="n"/>
      <c r="D580" s="10" t="n"/>
      <c r="E580" s="10" t="n"/>
      <c r="F580" s="10" t="n"/>
      <c r="G580" s="10" t="n"/>
      <c r="H580" s="10" t="n"/>
      <c r="I580" s="11">
        <f>IF(B580="","",DATE(YEAR(B580)+3,12,31))</f>
        <v/>
      </c>
      <c r="J580" s="8" t="n"/>
      <c r="K580" s="9" t="n"/>
      <c r="L580" s="8" t="n"/>
      <c r="M580" s="9" t="n"/>
      <c r="N580" s="8" t="n"/>
      <c r="O580" s="9" t="n"/>
      <c r="P580" s="12">
        <f>IF(C580="","",C580-SUM(K580,M580,O580))</f>
        <v/>
      </c>
      <c r="Q580" s="13">
        <f>IF(A580="","",IF(P580&lt;=0,"eingelöst",IF(AND(I580&lt;&gt;"",TODAY()&gt;I580),"abgelaufen",IF(P580&lt;C580,"teilweise","offen"))))</f>
        <v/>
      </c>
    </row>
    <row r="581">
      <c r="A581" s="7" t="n"/>
      <c r="B581" s="8" t="n"/>
      <c r="C581" s="9" t="n"/>
      <c r="D581" s="10" t="n"/>
      <c r="E581" s="10" t="n"/>
      <c r="F581" s="10" t="n"/>
      <c r="G581" s="10" t="n"/>
      <c r="H581" s="10" t="n"/>
      <c r="I581" s="11">
        <f>IF(B581="","",DATE(YEAR(B581)+3,12,31))</f>
        <v/>
      </c>
      <c r="J581" s="8" t="n"/>
      <c r="K581" s="9" t="n"/>
      <c r="L581" s="8" t="n"/>
      <c r="M581" s="9" t="n"/>
      <c r="N581" s="8" t="n"/>
      <c r="O581" s="9" t="n"/>
      <c r="P581" s="12">
        <f>IF(C581="","",C581-SUM(K581,M581,O581))</f>
        <v/>
      </c>
      <c r="Q581" s="13">
        <f>IF(A581="","",IF(P581&lt;=0,"eingelöst",IF(AND(I581&lt;&gt;"",TODAY()&gt;I581),"abgelaufen",IF(P581&lt;C581,"teilweise","offen"))))</f>
        <v/>
      </c>
    </row>
    <row r="582">
      <c r="A582" s="7" t="n"/>
      <c r="B582" s="8" t="n"/>
      <c r="C582" s="9" t="n"/>
      <c r="D582" s="10" t="n"/>
      <c r="E582" s="10" t="n"/>
      <c r="F582" s="10" t="n"/>
      <c r="G582" s="10" t="n"/>
      <c r="H582" s="10" t="n"/>
      <c r="I582" s="11">
        <f>IF(B582="","",DATE(YEAR(B582)+3,12,31))</f>
        <v/>
      </c>
      <c r="J582" s="8" t="n"/>
      <c r="K582" s="9" t="n"/>
      <c r="L582" s="8" t="n"/>
      <c r="M582" s="9" t="n"/>
      <c r="N582" s="8" t="n"/>
      <c r="O582" s="9" t="n"/>
      <c r="P582" s="12">
        <f>IF(C582="","",C582-SUM(K582,M582,O582))</f>
        <v/>
      </c>
      <c r="Q582" s="13">
        <f>IF(A582="","",IF(P582&lt;=0,"eingelöst",IF(AND(I582&lt;&gt;"",TODAY()&gt;I582),"abgelaufen",IF(P582&lt;C582,"teilweise","offen"))))</f>
        <v/>
      </c>
    </row>
    <row r="583">
      <c r="A583" s="7" t="n"/>
      <c r="B583" s="8" t="n"/>
      <c r="C583" s="9" t="n"/>
      <c r="D583" s="10" t="n"/>
      <c r="E583" s="10" t="n"/>
      <c r="F583" s="10" t="n"/>
      <c r="G583" s="10" t="n"/>
      <c r="H583" s="10" t="n"/>
      <c r="I583" s="11">
        <f>IF(B583="","",DATE(YEAR(B583)+3,12,31))</f>
        <v/>
      </c>
      <c r="J583" s="8" t="n"/>
      <c r="K583" s="9" t="n"/>
      <c r="L583" s="8" t="n"/>
      <c r="M583" s="9" t="n"/>
      <c r="N583" s="8" t="n"/>
      <c r="O583" s="9" t="n"/>
      <c r="P583" s="12">
        <f>IF(C583="","",C583-SUM(K583,M583,O583))</f>
        <v/>
      </c>
      <c r="Q583" s="13">
        <f>IF(A583="","",IF(P583&lt;=0,"eingelöst",IF(AND(I583&lt;&gt;"",TODAY()&gt;I583),"abgelaufen",IF(P583&lt;C583,"teilweise","offen"))))</f>
        <v/>
      </c>
    </row>
    <row r="584">
      <c r="A584" s="7" t="n"/>
      <c r="B584" s="8" t="n"/>
      <c r="C584" s="9" t="n"/>
      <c r="D584" s="10" t="n"/>
      <c r="E584" s="10" t="n"/>
      <c r="F584" s="10" t="n"/>
      <c r="G584" s="10" t="n"/>
      <c r="H584" s="10" t="n"/>
      <c r="I584" s="11">
        <f>IF(B584="","",DATE(YEAR(B584)+3,12,31))</f>
        <v/>
      </c>
      <c r="J584" s="8" t="n"/>
      <c r="K584" s="9" t="n"/>
      <c r="L584" s="8" t="n"/>
      <c r="M584" s="9" t="n"/>
      <c r="N584" s="8" t="n"/>
      <c r="O584" s="9" t="n"/>
      <c r="P584" s="12">
        <f>IF(C584="","",C584-SUM(K584,M584,O584))</f>
        <v/>
      </c>
      <c r="Q584" s="13">
        <f>IF(A584="","",IF(P584&lt;=0,"eingelöst",IF(AND(I584&lt;&gt;"",TODAY()&gt;I584),"abgelaufen",IF(P584&lt;C584,"teilweise","offen"))))</f>
        <v/>
      </c>
    </row>
    <row r="585">
      <c r="A585" s="7" t="n"/>
      <c r="B585" s="8" t="n"/>
      <c r="C585" s="9" t="n"/>
      <c r="D585" s="10" t="n"/>
      <c r="E585" s="10" t="n"/>
      <c r="F585" s="10" t="n"/>
      <c r="G585" s="10" t="n"/>
      <c r="H585" s="10" t="n"/>
      <c r="I585" s="11">
        <f>IF(B585="","",DATE(YEAR(B585)+3,12,31))</f>
        <v/>
      </c>
      <c r="J585" s="8" t="n"/>
      <c r="K585" s="9" t="n"/>
      <c r="L585" s="8" t="n"/>
      <c r="M585" s="9" t="n"/>
      <c r="N585" s="8" t="n"/>
      <c r="O585" s="9" t="n"/>
      <c r="P585" s="12">
        <f>IF(C585="","",C585-SUM(K585,M585,O585))</f>
        <v/>
      </c>
      <c r="Q585" s="13">
        <f>IF(A585="","",IF(P585&lt;=0,"eingelöst",IF(AND(I585&lt;&gt;"",TODAY()&gt;I585),"abgelaufen",IF(P585&lt;C585,"teilweise","offen"))))</f>
        <v/>
      </c>
    </row>
    <row r="586">
      <c r="A586" s="7" t="n"/>
      <c r="B586" s="8" t="n"/>
      <c r="C586" s="9" t="n"/>
      <c r="D586" s="10" t="n"/>
      <c r="E586" s="10" t="n"/>
      <c r="F586" s="10" t="n"/>
      <c r="G586" s="10" t="n"/>
      <c r="H586" s="10" t="n"/>
      <c r="I586" s="11">
        <f>IF(B586="","",DATE(YEAR(B586)+3,12,31))</f>
        <v/>
      </c>
      <c r="J586" s="8" t="n"/>
      <c r="K586" s="9" t="n"/>
      <c r="L586" s="8" t="n"/>
      <c r="M586" s="9" t="n"/>
      <c r="N586" s="8" t="n"/>
      <c r="O586" s="9" t="n"/>
      <c r="P586" s="12">
        <f>IF(C586="","",C586-SUM(K586,M586,O586))</f>
        <v/>
      </c>
      <c r="Q586" s="13">
        <f>IF(A586="","",IF(P586&lt;=0,"eingelöst",IF(AND(I586&lt;&gt;"",TODAY()&gt;I586),"abgelaufen",IF(P586&lt;C586,"teilweise","offen"))))</f>
        <v/>
      </c>
    </row>
    <row r="587">
      <c r="A587" s="7" t="n"/>
      <c r="B587" s="8" t="n"/>
      <c r="C587" s="9" t="n"/>
      <c r="D587" s="10" t="n"/>
      <c r="E587" s="10" t="n"/>
      <c r="F587" s="10" t="n"/>
      <c r="G587" s="10" t="n"/>
      <c r="H587" s="10" t="n"/>
      <c r="I587" s="11">
        <f>IF(B587="","",DATE(YEAR(B587)+3,12,31))</f>
        <v/>
      </c>
      <c r="J587" s="8" t="n"/>
      <c r="K587" s="9" t="n"/>
      <c r="L587" s="8" t="n"/>
      <c r="M587" s="9" t="n"/>
      <c r="N587" s="8" t="n"/>
      <c r="O587" s="9" t="n"/>
      <c r="P587" s="12">
        <f>IF(C587="","",C587-SUM(K587,M587,O587))</f>
        <v/>
      </c>
      <c r="Q587" s="13">
        <f>IF(A587="","",IF(P587&lt;=0,"eingelöst",IF(AND(I587&lt;&gt;"",TODAY()&gt;I587),"abgelaufen",IF(P587&lt;C587,"teilweise","offen"))))</f>
        <v/>
      </c>
    </row>
    <row r="588">
      <c r="A588" s="7" t="n"/>
      <c r="B588" s="8" t="n"/>
      <c r="C588" s="9" t="n"/>
      <c r="D588" s="10" t="n"/>
      <c r="E588" s="10" t="n"/>
      <c r="F588" s="10" t="n"/>
      <c r="G588" s="10" t="n"/>
      <c r="H588" s="10" t="n"/>
      <c r="I588" s="11">
        <f>IF(B588="","",DATE(YEAR(B588)+3,12,31))</f>
        <v/>
      </c>
      <c r="J588" s="8" t="n"/>
      <c r="K588" s="9" t="n"/>
      <c r="L588" s="8" t="n"/>
      <c r="M588" s="9" t="n"/>
      <c r="N588" s="8" t="n"/>
      <c r="O588" s="9" t="n"/>
      <c r="P588" s="12">
        <f>IF(C588="","",C588-SUM(K588,M588,O588))</f>
        <v/>
      </c>
      <c r="Q588" s="13">
        <f>IF(A588="","",IF(P588&lt;=0,"eingelöst",IF(AND(I588&lt;&gt;"",TODAY()&gt;I588),"abgelaufen",IF(P588&lt;C588,"teilweise","offen"))))</f>
        <v/>
      </c>
    </row>
    <row r="589">
      <c r="A589" s="7" t="n"/>
      <c r="B589" s="8" t="n"/>
      <c r="C589" s="9" t="n"/>
      <c r="D589" s="10" t="n"/>
      <c r="E589" s="10" t="n"/>
      <c r="F589" s="10" t="n"/>
      <c r="G589" s="10" t="n"/>
      <c r="H589" s="10" t="n"/>
      <c r="I589" s="11">
        <f>IF(B589="","",DATE(YEAR(B589)+3,12,31))</f>
        <v/>
      </c>
      <c r="J589" s="8" t="n"/>
      <c r="K589" s="9" t="n"/>
      <c r="L589" s="8" t="n"/>
      <c r="M589" s="9" t="n"/>
      <c r="N589" s="8" t="n"/>
      <c r="O589" s="9" t="n"/>
      <c r="P589" s="12">
        <f>IF(C589="","",C589-SUM(K589,M589,O589))</f>
        <v/>
      </c>
      <c r="Q589" s="13">
        <f>IF(A589="","",IF(P589&lt;=0,"eingelöst",IF(AND(I589&lt;&gt;"",TODAY()&gt;I589),"abgelaufen",IF(P589&lt;C589,"teilweise","offen"))))</f>
        <v/>
      </c>
    </row>
    <row r="590">
      <c r="A590" s="7" t="n"/>
      <c r="B590" s="8" t="n"/>
      <c r="C590" s="9" t="n"/>
      <c r="D590" s="10" t="n"/>
      <c r="E590" s="10" t="n"/>
      <c r="F590" s="10" t="n"/>
      <c r="G590" s="10" t="n"/>
      <c r="H590" s="10" t="n"/>
      <c r="I590" s="11">
        <f>IF(B590="","",DATE(YEAR(B590)+3,12,31))</f>
        <v/>
      </c>
      <c r="J590" s="8" t="n"/>
      <c r="K590" s="9" t="n"/>
      <c r="L590" s="8" t="n"/>
      <c r="M590" s="9" t="n"/>
      <c r="N590" s="8" t="n"/>
      <c r="O590" s="9" t="n"/>
      <c r="P590" s="12">
        <f>IF(C590="","",C590-SUM(K590,M590,O590))</f>
        <v/>
      </c>
      <c r="Q590" s="13">
        <f>IF(A590="","",IF(P590&lt;=0,"eingelöst",IF(AND(I590&lt;&gt;"",TODAY()&gt;I590),"abgelaufen",IF(P590&lt;C590,"teilweise","offen"))))</f>
        <v/>
      </c>
    </row>
    <row r="591">
      <c r="A591" s="7" t="n"/>
      <c r="B591" s="8" t="n"/>
      <c r="C591" s="9" t="n"/>
      <c r="D591" s="10" t="n"/>
      <c r="E591" s="10" t="n"/>
      <c r="F591" s="10" t="n"/>
      <c r="G591" s="10" t="n"/>
      <c r="H591" s="10" t="n"/>
      <c r="I591" s="11">
        <f>IF(B591="","",DATE(YEAR(B591)+3,12,31))</f>
        <v/>
      </c>
      <c r="J591" s="8" t="n"/>
      <c r="K591" s="9" t="n"/>
      <c r="L591" s="8" t="n"/>
      <c r="M591" s="9" t="n"/>
      <c r="N591" s="8" t="n"/>
      <c r="O591" s="9" t="n"/>
      <c r="P591" s="12">
        <f>IF(C591="","",C591-SUM(K591,M591,O591))</f>
        <v/>
      </c>
      <c r="Q591" s="13">
        <f>IF(A591="","",IF(P591&lt;=0,"eingelöst",IF(AND(I591&lt;&gt;"",TODAY()&gt;I591),"abgelaufen",IF(P591&lt;C591,"teilweise","offen"))))</f>
        <v/>
      </c>
    </row>
    <row r="592">
      <c r="A592" s="7" t="n"/>
      <c r="B592" s="8" t="n"/>
      <c r="C592" s="9" t="n"/>
      <c r="D592" s="10" t="n"/>
      <c r="E592" s="10" t="n"/>
      <c r="F592" s="10" t="n"/>
      <c r="G592" s="10" t="n"/>
      <c r="H592" s="10" t="n"/>
      <c r="I592" s="11">
        <f>IF(B592="","",DATE(YEAR(B592)+3,12,31))</f>
        <v/>
      </c>
      <c r="J592" s="8" t="n"/>
      <c r="K592" s="9" t="n"/>
      <c r="L592" s="8" t="n"/>
      <c r="M592" s="9" t="n"/>
      <c r="N592" s="8" t="n"/>
      <c r="O592" s="9" t="n"/>
      <c r="P592" s="12">
        <f>IF(C592="","",C592-SUM(K592,M592,O592))</f>
        <v/>
      </c>
      <c r="Q592" s="13">
        <f>IF(A592="","",IF(P592&lt;=0,"eingelöst",IF(AND(I592&lt;&gt;"",TODAY()&gt;I592),"abgelaufen",IF(P592&lt;C592,"teilweise","offen"))))</f>
        <v/>
      </c>
    </row>
    <row r="593">
      <c r="A593" s="7" t="n"/>
      <c r="B593" s="8" t="n"/>
      <c r="C593" s="9" t="n"/>
      <c r="D593" s="10" t="n"/>
      <c r="E593" s="10" t="n"/>
      <c r="F593" s="10" t="n"/>
      <c r="G593" s="10" t="n"/>
      <c r="H593" s="10" t="n"/>
      <c r="I593" s="11">
        <f>IF(B593="","",DATE(YEAR(B593)+3,12,31))</f>
        <v/>
      </c>
      <c r="J593" s="8" t="n"/>
      <c r="K593" s="9" t="n"/>
      <c r="L593" s="8" t="n"/>
      <c r="M593" s="9" t="n"/>
      <c r="N593" s="8" t="n"/>
      <c r="O593" s="9" t="n"/>
      <c r="P593" s="12">
        <f>IF(C593="","",C593-SUM(K593,M593,O593))</f>
        <v/>
      </c>
      <c r="Q593" s="13">
        <f>IF(A593="","",IF(P593&lt;=0,"eingelöst",IF(AND(I593&lt;&gt;"",TODAY()&gt;I593),"abgelaufen",IF(P593&lt;C593,"teilweise","offen"))))</f>
        <v/>
      </c>
    </row>
    <row r="594">
      <c r="A594" s="7" t="n"/>
      <c r="B594" s="8" t="n"/>
      <c r="C594" s="9" t="n"/>
      <c r="D594" s="10" t="n"/>
      <c r="E594" s="10" t="n"/>
      <c r="F594" s="10" t="n"/>
      <c r="G594" s="10" t="n"/>
      <c r="H594" s="10" t="n"/>
      <c r="I594" s="11">
        <f>IF(B594="","",DATE(YEAR(B594)+3,12,31))</f>
        <v/>
      </c>
      <c r="J594" s="8" t="n"/>
      <c r="K594" s="9" t="n"/>
      <c r="L594" s="8" t="n"/>
      <c r="M594" s="9" t="n"/>
      <c r="N594" s="8" t="n"/>
      <c r="O594" s="9" t="n"/>
      <c r="P594" s="12">
        <f>IF(C594="","",C594-SUM(K594,M594,O594))</f>
        <v/>
      </c>
      <c r="Q594" s="13">
        <f>IF(A594="","",IF(P594&lt;=0,"eingelöst",IF(AND(I594&lt;&gt;"",TODAY()&gt;I594),"abgelaufen",IF(P594&lt;C594,"teilweise","offen"))))</f>
        <v/>
      </c>
    </row>
    <row r="595">
      <c r="A595" s="7" t="n"/>
      <c r="B595" s="8" t="n"/>
      <c r="C595" s="9" t="n"/>
      <c r="D595" s="10" t="n"/>
      <c r="E595" s="10" t="n"/>
      <c r="F595" s="10" t="n"/>
      <c r="G595" s="10" t="n"/>
      <c r="H595" s="10" t="n"/>
      <c r="I595" s="11">
        <f>IF(B595="","",DATE(YEAR(B595)+3,12,31))</f>
        <v/>
      </c>
      <c r="J595" s="8" t="n"/>
      <c r="K595" s="9" t="n"/>
      <c r="L595" s="8" t="n"/>
      <c r="M595" s="9" t="n"/>
      <c r="N595" s="8" t="n"/>
      <c r="O595" s="9" t="n"/>
      <c r="P595" s="12">
        <f>IF(C595="","",C595-SUM(K595,M595,O595))</f>
        <v/>
      </c>
      <c r="Q595" s="13">
        <f>IF(A595="","",IF(P595&lt;=0,"eingelöst",IF(AND(I595&lt;&gt;"",TODAY()&gt;I595),"abgelaufen",IF(P595&lt;C595,"teilweise","offen"))))</f>
        <v/>
      </c>
    </row>
    <row r="596">
      <c r="A596" s="7" t="n"/>
      <c r="B596" s="8" t="n"/>
      <c r="C596" s="9" t="n"/>
      <c r="D596" s="10" t="n"/>
      <c r="E596" s="10" t="n"/>
      <c r="F596" s="10" t="n"/>
      <c r="G596" s="10" t="n"/>
      <c r="H596" s="10" t="n"/>
      <c r="I596" s="11">
        <f>IF(B596="","",DATE(YEAR(B596)+3,12,31))</f>
        <v/>
      </c>
      <c r="J596" s="8" t="n"/>
      <c r="K596" s="9" t="n"/>
      <c r="L596" s="8" t="n"/>
      <c r="M596" s="9" t="n"/>
      <c r="N596" s="8" t="n"/>
      <c r="O596" s="9" t="n"/>
      <c r="P596" s="12">
        <f>IF(C596="","",C596-SUM(K596,M596,O596))</f>
        <v/>
      </c>
      <c r="Q596" s="13">
        <f>IF(A596="","",IF(P596&lt;=0,"eingelöst",IF(AND(I596&lt;&gt;"",TODAY()&gt;I596),"abgelaufen",IF(P596&lt;C596,"teilweise","offen"))))</f>
        <v/>
      </c>
    </row>
    <row r="597">
      <c r="A597" s="7" t="n"/>
      <c r="B597" s="8" t="n"/>
      <c r="C597" s="9" t="n"/>
      <c r="D597" s="10" t="n"/>
      <c r="E597" s="10" t="n"/>
      <c r="F597" s="10" t="n"/>
      <c r="G597" s="10" t="n"/>
      <c r="H597" s="10" t="n"/>
      <c r="I597" s="11">
        <f>IF(B597="","",DATE(YEAR(B597)+3,12,31))</f>
        <v/>
      </c>
      <c r="J597" s="8" t="n"/>
      <c r="K597" s="9" t="n"/>
      <c r="L597" s="8" t="n"/>
      <c r="M597" s="9" t="n"/>
      <c r="N597" s="8" t="n"/>
      <c r="O597" s="9" t="n"/>
      <c r="P597" s="12">
        <f>IF(C597="","",C597-SUM(K597,M597,O597))</f>
        <v/>
      </c>
      <c r="Q597" s="13">
        <f>IF(A597="","",IF(P597&lt;=0,"eingelöst",IF(AND(I597&lt;&gt;"",TODAY()&gt;I597),"abgelaufen",IF(P597&lt;C597,"teilweise","offen"))))</f>
        <v/>
      </c>
    </row>
    <row r="598">
      <c r="A598" s="7" t="n"/>
      <c r="B598" s="8" t="n"/>
      <c r="C598" s="9" t="n"/>
      <c r="D598" s="10" t="n"/>
      <c r="E598" s="10" t="n"/>
      <c r="F598" s="10" t="n"/>
      <c r="G598" s="10" t="n"/>
      <c r="H598" s="10" t="n"/>
      <c r="I598" s="11">
        <f>IF(B598="","",DATE(YEAR(B598)+3,12,31))</f>
        <v/>
      </c>
      <c r="J598" s="8" t="n"/>
      <c r="K598" s="9" t="n"/>
      <c r="L598" s="8" t="n"/>
      <c r="M598" s="9" t="n"/>
      <c r="N598" s="8" t="n"/>
      <c r="O598" s="9" t="n"/>
      <c r="P598" s="12">
        <f>IF(C598="","",C598-SUM(K598,M598,O598))</f>
        <v/>
      </c>
      <c r="Q598" s="13">
        <f>IF(A598="","",IF(P598&lt;=0,"eingelöst",IF(AND(I598&lt;&gt;"",TODAY()&gt;I598),"abgelaufen",IF(P598&lt;C598,"teilweise","offen"))))</f>
        <v/>
      </c>
    </row>
    <row r="599">
      <c r="A599" s="7" t="n"/>
      <c r="B599" s="8" t="n"/>
      <c r="C599" s="9" t="n"/>
      <c r="D599" s="10" t="n"/>
      <c r="E599" s="10" t="n"/>
      <c r="F599" s="10" t="n"/>
      <c r="G599" s="10" t="n"/>
      <c r="H599" s="10" t="n"/>
      <c r="I599" s="11">
        <f>IF(B599="","",DATE(YEAR(B599)+3,12,31))</f>
        <v/>
      </c>
      <c r="J599" s="8" t="n"/>
      <c r="K599" s="9" t="n"/>
      <c r="L599" s="8" t="n"/>
      <c r="M599" s="9" t="n"/>
      <c r="N599" s="8" t="n"/>
      <c r="O599" s="9" t="n"/>
      <c r="P599" s="12">
        <f>IF(C599="","",C599-SUM(K599,M599,O599))</f>
        <v/>
      </c>
      <c r="Q599" s="13">
        <f>IF(A599="","",IF(P599&lt;=0,"eingelöst",IF(AND(I599&lt;&gt;"",TODAY()&gt;I599),"abgelaufen",IF(P599&lt;C599,"teilweise","offen"))))</f>
        <v/>
      </c>
    </row>
    <row r="600">
      <c r="A600" s="7" t="n"/>
      <c r="B600" s="8" t="n"/>
      <c r="C600" s="9" t="n"/>
      <c r="D600" s="10" t="n"/>
      <c r="E600" s="10" t="n"/>
      <c r="F600" s="10" t="n"/>
      <c r="G600" s="10" t="n"/>
      <c r="H600" s="10" t="n"/>
      <c r="I600" s="11">
        <f>IF(B600="","",DATE(YEAR(B600)+3,12,31))</f>
        <v/>
      </c>
      <c r="J600" s="8" t="n"/>
      <c r="K600" s="9" t="n"/>
      <c r="L600" s="8" t="n"/>
      <c r="M600" s="9" t="n"/>
      <c r="N600" s="8" t="n"/>
      <c r="O600" s="9" t="n"/>
      <c r="P600" s="12">
        <f>IF(C600="","",C600-SUM(K600,M600,O600))</f>
        <v/>
      </c>
      <c r="Q600" s="13">
        <f>IF(A600="","",IF(P600&lt;=0,"eingelöst",IF(AND(I600&lt;&gt;"",TODAY()&gt;I600),"abgelaufen",IF(P600&lt;C600,"teilweise","offen"))))</f>
        <v/>
      </c>
    </row>
    <row r="601">
      <c r="A601" s="7" t="n"/>
      <c r="B601" s="8" t="n"/>
      <c r="C601" s="9" t="n"/>
      <c r="D601" s="10" t="n"/>
      <c r="E601" s="10" t="n"/>
      <c r="F601" s="10" t="n"/>
      <c r="G601" s="10" t="n"/>
      <c r="H601" s="10" t="n"/>
      <c r="I601" s="11">
        <f>IF(B601="","",DATE(YEAR(B601)+3,12,31))</f>
        <v/>
      </c>
      <c r="J601" s="8" t="n"/>
      <c r="K601" s="9" t="n"/>
      <c r="L601" s="8" t="n"/>
      <c r="M601" s="9" t="n"/>
      <c r="N601" s="8" t="n"/>
      <c r="O601" s="9" t="n"/>
      <c r="P601" s="12">
        <f>IF(C601="","",C601-SUM(K601,M601,O601))</f>
        <v/>
      </c>
      <c r="Q601" s="13">
        <f>IF(A601="","",IF(P601&lt;=0,"eingelöst",IF(AND(I601&lt;&gt;"",TODAY()&gt;I601),"abgelaufen",IF(P601&lt;C601,"teilweise","offen"))))</f>
        <v/>
      </c>
    </row>
    <row r="602">
      <c r="A602" s="7" t="n"/>
      <c r="B602" s="8" t="n"/>
      <c r="C602" s="9" t="n"/>
      <c r="D602" s="10" t="n"/>
      <c r="E602" s="10" t="n"/>
      <c r="F602" s="10" t="n"/>
      <c r="G602" s="10" t="n"/>
      <c r="H602" s="10" t="n"/>
      <c r="I602" s="11">
        <f>IF(B602="","",DATE(YEAR(B602)+3,12,31))</f>
        <v/>
      </c>
      <c r="J602" s="8" t="n"/>
      <c r="K602" s="9" t="n"/>
      <c r="L602" s="8" t="n"/>
      <c r="M602" s="9" t="n"/>
      <c r="N602" s="8" t="n"/>
      <c r="O602" s="9" t="n"/>
      <c r="P602" s="12">
        <f>IF(C602="","",C602-SUM(K602,M602,O602))</f>
        <v/>
      </c>
      <c r="Q602" s="13">
        <f>IF(A602="","",IF(P602&lt;=0,"eingelöst",IF(AND(I602&lt;&gt;"",TODAY()&gt;I602),"abgelaufen",IF(P602&lt;C602,"teilweise","offen"))))</f>
        <v/>
      </c>
    </row>
    <row r="603">
      <c r="A603" s="7" t="n"/>
      <c r="B603" s="8" t="n"/>
      <c r="C603" s="9" t="n"/>
      <c r="D603" s="10" t="n"/>
      <c r="E603" s="10" t="n"/>
      <c r="F603" s="10" t="n"/>
      <c r="G603" s="10" t="n"/>
      <c r="H603" s="10" t="n"/>
      <c r="I603" s="11">
        <f>IF(B603="","",DATE(YEAR(B603)+3,12,31))</f>
        <v/>
      </c>
      <c r="J603" s="8" t="n"/>
      <c r="K603" s="9" t="n"/>
      <c r="L603" s="8" t="n"/>
      <c r="M603" s="9" t="n"/>
      <c r="N603" s="8" t="n"/>
      <c r="O603" s="9" t="n"/>
      <c r="P603" s="12">
        <f>IF(C603="","",C603-SUM(K603,M603,O603))</f>
        <v/>
      </c>
      <c r="Q603" s="13">
        <f>IF(A603="","",IF(P603&lt;=0,"eingelöst",IF(AND(I603&lt;&gt;"",TODAY()&gt;I603),"abgelaufen",IF(P603&lt;C603,"teilweise","offen"))))</f>
        <v/>
      </c>
    </row>
    <row r="604">
      <c r="A604" s="7" t="n"/>
      <c r="B604" s="8" t="n"/>
      <c r="C604" s="9" t="n"/>
      <c r="D604" s="10" t="n"/>
      <c r="E604" s="10" t="n"/>
      <c r="F604" s="10" t="n"/>
      <c r="G604" s="10" t="n"/>
      <c r="H604" s="10" t="n"/>
      <c r="I604" s="11">
        <f>IF(B604="","",DATE(YEAR(B604)+3,12,31))</f>
        <v/>
      </c>
      <c r="J604" s="8" t="n"/>
      <c r="K604" s="9" t="n"/>
      <c r="L604" s="8" t="n"/>
      <c r="M604" s="9" t="n"/>
      <c r="N604" s="8" t="n"/>
      <c r="O604" s="9" t="n"/>
      <c r="P604" s="12">
        <f>IF(C604="","",C604-SUM(K604,M604,O604))</f>
        <v/>
      </c>
      <c r="Q604" s="13">
        <f>IF(A604="","",IF(P604&lt;=0,"eingelöst",IF(AND(I604&lt;&gt;"",TODAY()&gt;I604),"abgelaufen",IF(P604&lt;C604,"teilweise","offen"))))</f>
        <v/>
      </c>
    </row>
    <row r="605">
      <c r="A605" s="7" t="n"/>
      <c r="B605" s="8" t="n"/>
      <c r="C605" s="9" t="n"/>
      <c r="D605" s="10" t="n"/>
      <c r="E605" s="10" t="n"/>
      <c r="F605" s="10" t="n"/>
      <c r="G605" s="10" t="n"/>
      <c r="H605" s="10" t="n"/>
      <c r="I605" s="11">
        <f>IF(B605="","",DATE(YEAR(B605)+3,12,31))</f>
        <v/>
      </c>
      <c r="J605" s="8" t="n"/>
      <c r="K605" s="9" t="n"/>
      <c r="L605" s="8" t="n"/>
      <c r="M605" s="9" t="n"/>
      <c r="N605" s="8" t="n"/>
      <c r="O605" s="9" t="n"/>
      <c r="P605" s="12">
        <f>IF(C605="","",C605-SUM(K605,M605,O605))</f>
        <v/>
      </c>
      <c r="Q605" s="13">
        <f>IF(A605="","",IF(P605&lt;=0,"eingelöst",IF(AND(I605&lt;&gt;"",TODAY()&gt;I605),"abgelaufen",IF(P605&lt;C605,"teilweise","offen"))))</f>
        <v/>
      </c>
    </row>
    <row r="606">
      <c r="A606" s="7" t="n"/>
      <c r="B606" s="8" t="n"/>
      <c r="C606" s="9" t="n"/>
      <c r="D606" s="10" t="n"/>
      <c r="E606" s="10" t="n"/>
      <c r="F606" s="10" t="n"/>
      <c r="G606" s="10" t="n"/>
      <c r="H606" s="10" t="n"/>
      <c r="I606" s="11">
        <f>IF(B606="","",DATE(YEAR(B606)+3,12,31))</f>
        <v/>
      </c>
      <c r="J606" s="8" t="n"/>
      <c r="K606" s="9" t="n"/>
      <c r="L606" s="8" t="n"/>
      <c r="M606" s="9" t="n"/>
      <c r="N606" s="8" t="n"/>
      <c r="O606" s="9" t="n"/>
      <c r="P606" s="12">
        <f>IF(C606="","",C606-SUM(K606,M606,O606))</f>
        <v/>
      </c>
      <c r="Q606" s="13">
        <f>IF(A606="","",IF(P606&lt;=0,"eingelöst",IF(AND(I606&lt;&gt;"",TODAY()&gt;I606),"abgelaufen",IF(P606&lt;C606,"teilweise","offen"))))</f>
        <v/>
      </c>
    </row>
    <row r="607">
      <c r="A607" s="7" t="n"/>
      <c r="B607" s="8" t="n"/>
      <c r="C607" s="9" t="n"/>
      <c r="D607" s="10" t="n"/>
      <c r="E607" s="10" t="n"/>
      <c r="F607" s="10" t="n"/>
      <c r="G607" s="10" t="n"/>
      <c r="H607" s="10" t="n"/>
      <c r="I607" s="11">
        <f>IF(B607="","",DATE(YEAR(B607)+3,12,31))</f>
        <v/>
      </c>
      <c r="J607" s="8" t="n"/>
      <c r="K607" s="9" t="n"/>
      <c r="L607" s="8" t="n"/>
      <c r="M607" s="9" t="n"/>
      <c r="N607" s="8" t="n"/>
      <c r="O607" s="9" t="n"/>
      <c r="P607" s="12">
        <f>IF(C607="","",C607-SUM(K607,M607,O607))</f>
        <v/>
      </c>
      <c r="Q607" s="13">
        <f>IF(A607="","",IF(P607&lt;=0,"eingelöst",IF(AND(I607&lt;&gt;"",TODAY()&gt;I607),"abgelaufen",IF(P607&lt;C607,"teilweise","offen"))))</f>
        <v/>
      </c>
    </row>
    <row r="608">
      <c r="A608" s="7" t="n"/>
      <c r="B608" s="8" t="n"/>
      <c r="C608" s="9" t="n"/>
      <c r="D608" s="10" t="n"/>
      <c r="E608" s="10" t="n"/>
      <c r="F608" s="10" t="n"/>
      <c r="G608" s="10" t="n"/>
      <c r="H608" s="10" t="n"/>
      <c r="I608" s="11">
        <f>IF(B608="","",DATE(YEAR(B608)+3,12,31))</f>
        <v/>
      </c>
      <c r="J608" s="8" t="n"/>
      <c r="K608" s="9" t="n"/>
      <c r="L608" s="8" t="n"/>
      <c r="M608" s="9" t="n"/>
      <c r="N608" s="8" t="n"/>
      <c r="O608" s="9" t="n"/>
      <c r="P608" s="12">
        <f>IF(C608="","",C608-SUM(K608,M608,O608))</f>
        <v/>
      </c>
      <c r="Q608" s="13">
        <f>IF(A608="","",IF(P608&lt;=0,"eingelöst",IF(AND(I608&lt;&gt;"",TODAY()&gt;I608),"abgelaufen",IF(P608&lt;C608,"teilweise","offen"))))</f>
        <v/>
      </c>
    </row>
    <row r="609">
      <c r="A609" s="7" t="n"/>
      <c r="B609" s="8" t="n"/>
      <c r="C609" s="9" t="n"/>
      <c r="D609" s="10" t="n"/>
      <c r="E609" s="10" t="n"/>
      <c r="F609" s="10" t="n"/>
      <c r="G609" s="10" t="n"/>
      <c r="H609" s="10" t="n"/>
      <c r="I609" s="11">
        <f>IF(B609="","",DATE(YEAR(B609)+3,12,31))</f>
        <v/>
      </c>
      <c r="J609" s="8" t="n"/>
      <c r="K609" s="9" t="n"/>
      <c r="L609" s="8" t="n"/>
      <c r="M609" s="9" t="n"/>
      <c r="N609" s="8" t="n"/>
      <c r="O609" s="9" t="n"/>
      <c r="P609" s="12">
        <f>IF(C609="","",C609-SUM(K609,M609,O609))</f>
        <v/>
      </c>
      <c r="Q609" s="13">
        <f>IF(A609="","",IF(P609&lt;=0,"eingelöst",IF(AND(I609&lt;&gt;"",TODAY()&gt;I609),"abgelaufen",IF(P609&lt;C609,"teilweise","offen"))))</f>
        <v/>
      </c>
    </row>
    <row r="610">
      <c r="A610" s="7" t="n"/>
      <c r="B610" s="8" t="n"/>
      <c r="C610" s="9" t="n"/>
      <c r="D610" s="10" t="n"/>
      <c r="E610" s="10" t="n"/>
      <c r="F610" s="10" t="n"/>
      <c r="G610" s="10" t="n"/>
      <c r="H610" s="10" t="n"/>
      <c r="I610" s="11">
        <f>IF(B610="","",DATE(YEAR(B610)+3,12,31))</f>
        <v/>
      </c>
      <c r="J610" s="8" t="n"/>
      <c r="K610" s="9" t="n"/>
      <c r="L610" s="8" t="n"/>
      <c r="M610" s="9" t="n"/>
      <c r="N610" s="8" t="n"/>
      <c r="O610" s="9" t="n"/>
      <c r="P610" s="12">
        <f>IF(C610="","",C610-SUM(K610,M610,O610))</f>
        <v/>
      </c>
      <c r="Q610" s="13">
        <f>IF(A610="","",IF(P610&lt;=0,"eingelöst",IF(AND(I610&lt;&gt;"",TODAY()&gt;I610),"abgelaufen",IF(P610&lt;C610,"teilweise","offen"))))</f>
        <v/>
      </c>
    </row>
    <row r="611">
      <c r="A611" s="7" t="n"/>
      <c r="B611" s="8" t="n"/>
      <c r="C611" s="9" t="n"/>
      <c r="D611" s="10" t="n"/>
      <c r="E611" s="10" t="n"/>
      <c r="F611" s="10" t="n"/>
      <c r="G611" s="10" t="n"/>
      <c r="H611" s="10" t="n"/>
      <c r="I611" s="11">
        <f>IF(B611="","",DATE(YEAR(B611)+3,12,31))</f>
        <v/>
      </c>
      <c r="J611" s="8" t="n"/>
      <c r="K611" s="9" t="n"/>
      <c r="L611" s="8" t="n"/>
      <c r="M611" s="9" t="n"/>
      <c r="N611" s="8" t="n"/>
      <c r="O611" s="9" t="n"/>
      <c r="P611" s="12">
        <f>IF(C611="","",C611-SUM(K611,M611,O611))</f>
        <v/>
      </c>
      <c r="Q611" s="13">
        <f>IF(A611="","",IF(P611&lt;=0,"eingelöst",IF(AND(I611&lt;&gt;"",TODAY()&gt;I611),"abgelaufen",IF(P611&lt;C611,"teilweise","offen"))))</f>
        <v/>
      </c>
    </row>
    <row r="612">
      <c r="A612" s="7" t="n"/>
      <c r="B612" s="8" t="n"/>
      <c r="C612" s="9" t="n"/>
      <c r="D612" s="10" t="n"/>
      <c r="E612" s="10" t="n"/>
      <c r="F612" s="10" t="n"/>
      <c r="G612" s="10" t="n"/>
      <c r="H612" s="10" t="n"/>
      <c r="I612" s="11">
        <f>IF(B612="","",DATE(YEAR(B612)+3,12,31))</f>
        <v/>
      </c>
      <c r="J612" s="8" t="n"/>
      <c r="K612" s="9" t="n"/>
      <c r="L612" s="8" t="n"/>
      <c r="M612" s="9" t="n"/>
      <c r="N612" s="8" t="n"/>
      <c r="O612" s="9" t="n"/>
      <c r="P612" s="12">
        <f>IF(C612="","",C612-SUM(K612,M612,O612))</f>
        <v/>
      </c>
      <c r="Q612" s="13">
        <f>IF(A612="","",IF(P612&lt;=0,"eingelöst",IF(AND(I612&lt;&gt;"",TODAY()&gt;I612),"abgelaufen",IF(P612&lt;C612,"teilweise","offen"))))</f>
        <v/>
      </c>
    </row>
    <row r="613">
      <c r="A613" s="7" t="n"/>
      <c r="B613" s="8" t="n"/>
      <c r="C613" s="9" t="n"/>
      <c r="D613" s="10" t="n"/>
      <c r="E613" s="10" t="n"/>
      <c r="F613" s="10" t="n"/>
      <c r="G613" s="10" t="n"/>
      <c r="H613" s="10" t="n"/>
      <c r="I613" s="11">
        <f>IF(B613="","",DATE(YEAR(B613)+3,12,31))</f>
        <v/>
      </c>
      <c r="J613" s="8" t="n"/>
      <c r="K613" s="9" t="n"/>
      <c r="L613" s="8" t="n"/>
      <c r="M613" s="9" t="n"/>
      <c r="N613" s="8" t="n"/>
      <c r="O613" s="9" t="n"/>
      <c r="P613" s="12">
        <f>IF(C613="","",C613-SUM(K613,M613,O613))</f>
        <v/>
      </c>
      <c r="Q613" s="13">
        <f>IF(A613="","",IF(P613&lt;=0,"eingelöst",IF(AND(I613&lt;&gt;"",TODAY()&gt;I613),"abgelaufen",IF(P613&lt;C613,"teilweise","offen"))))</f>
        <v/>
      </c>
    </row>
    <row r="614">
      <c r="A614" s="7" t="n"/>
      <c r="B614" s="8" t="n"/>
      <c r="C614" s="9" t="n"/>
      <c r="D614" s="10" t="n"/>
      <c r="E614" s="10" t="n"/>
      <c r="F614" s="10" t="n"/>
      <c r="G614" s="10" t="n"/>
      <c r="H614" s="10" t="n"/>
      <c r="I614" s="11">
        <f>IF(B614="","",DATE(YEAR(B614)+3,12,31))</f>
        <v/>
      </c>
      <c r="J614" s="8" t="n"/>
      <c r="K614" s="9" t="n"/>
      <c r="L614" s="8" t="n"/>
      <c r="M614" s="9" t="n"/>
      <c r="N614" s="8" t="n"/>
      <c r="O614" s="9" t="n"/>
      <c r="P614" s="12">
        <f>IF(C614="","",C614-SUM(K614,M614,O614))</f>
        <v/>
      </c>
      <c r="Q614" s="13">
        <f>IF(A614="","",IF(P614&lt;=0,"eingelöst",IF(AND(I614&lt;&gt;"",TODAY()&gt;I614),"abgelaufen",IF(P614&lt;C614,"teilweise","offen"))))</f>
        <v/>
      </c>
    </row>
    <row r="615">
      <c r="A615" s="7" t="n"/>
      <c r="B615" s="8" t="n"/>
      <c r="C615" s="9" t="n"/>
      <c r="D615" s="10" t="n"/>
      <c r="E615" s="10" t="n"/>
      <c r="F615" s="10" t="n"/>
      <c r="G615" s="10" t="n"/>
      <c r="H615" s="10" t="n"/>
      <c r="I615" s="11">
        <f>IF(B615="","",DATE(YEAR(B615)+3,12,31))</f>
        <v/>
      </c>
      <c r="J615" s="8" t="n"/>
      <c r="K615" s="9" t="n"/>
      <c r="L615" s="8" t="n"/>
      <c r="M615" s="9" t="n"/>
      <c r="N615" s="8" t="n"/>
      <c r="O615" s="9" t="n"/>
      <c r="P615" s="12">
        <f>IF(C615="","",C615-SUM(K615,M615,O615))</f>
        <v/>
      </c>
      <c r="Q615" s="13">
        <f>IF(A615="","",IF(P615&lt;=0,"eingelöst",IF(AND(I615&lt;&gt;"",TODAY()&gt;I615),"abgelaufen",IF(P615&lt;C615,"teilweise","offen"))))</f>
        <v/>
      </c>
    </row>
    <row r="616">
      <c r="A616" s="7" t="n"/>
      <c r="B616" s="8" t="n"/>
      <c r="C616" s="9" t="n"/>
      <c r="D616" s="10" t="n"/>
      <c r="E616" s="10" t="n"/>
      <c r="F616" s="10" t="n"/>
      <c r="G616" s="10" t="n"/>
      <c r="H616" s="10" t="n"/>
      <c r="I616" s="11">
        <f>IF(B616="","",DATE(YEAR(B616)+3,12,31))</f>
        <v/>
      </c>
      <c r="J616" s="8" t="n"/>
      <c r="K616" s="9" t="n"/>
      <c r="L616" s="8" t="n"/>
      <c r="M616" s="9" t="n"/>
      <c r="N616" s="8" t="n"/>
      <c r="O616" s="9" t="n"/>
      <c r="P616" s="12">
        <f>IF(C616="","",C616-SUM(K616,M616,O616))</f>
        <v/>
      </c>
      <c r="Q616" s="13">
        <f>IF(A616="","",IF(P616&lt;=0,"eingelöst",IF(AND(I616&lt;&gt;"",TODAY()&gt;I616),"abgelaufen",IF(P616&lt;C616,"teilweise","offen"))))</f>
        <v/>
      </c>
    </row>
    <row r="617">
      <c r="A617" s="7" t="n"/>
      <c r="B617" s="8" t="n"/>
      <c r="C617" s="9" t="n"/>
      <c r="D617" s="10" t="n"/>
      <c r="E617" s="10" t="n"/>
      <c r="F617" s="10" t="n"/>
      <c r="G617" s="10" t="n"/>
      <c r="H617" s="10" t="n"/>
      <c r="I617" s="11">
        <f>IF(B617="","",DATE(YEAR(B617)+3,12,31))</f>
        <v/>
      </c>
      <c r="J617" s="8" t="n"/>
      <c r="K617" s="9" t="n"/>
      <c r="L617" s="8" t="n"/>
      <c r="M617" s="9" t="n"/>
      <c r="N617" s="8" t="n"/>
      <c r="O617" s="9" t="n"/>
      <c r="P617" s="12">
        <f>IF(C617="","",C617-SUM(K617,M617,O617))</f>
        <v/>
      </c>
      <c r="Q617" s="13">
        <f>IF(A617="","",IF(P617&lt;=0,"eingelöst",IF(AND(I617&lt;&gt;"",TODAY()&gt;I617),"abgelaufen",IF(P617&lt;C617,"teilweise","offen"))))</f>
        <v/>
      </c>
    </row>
    <row r="618">
      <c r="A618" s="7" t="n"/>
      <c r="B618" s="8" t="n"/>
      <c r="C618" s="9" t="n"/>
      <c r="D618" s="10" t="n"/>
      <c r="E618" s="10" t="n"/>
      <c r="F618" s="10" t="n"/>
      <c r="G618" s="10" t="n"/>
      <c r="H618" s="10" t="n"/>
      <c r="I618" s="11">
        <f>IF(B618="","",DATE(YEAR(B618)+3,12,31))</f>
        <v/>
      </c>
      <c r="J618" s="8" t="n"/>
      <c r="K618" s="9" t="n"/>
      <c r="L618" s="8" t="n"/>
      <c r="M618" s="9" t="n"/>
      <c r="N618" s="8" t="n"/>
      <c r="O618" s="9" t="n"/>
      <c r="P618" s="12">
        <f>IF(C618="","",C618-SUM(K618,M618,O618))</f>
        <v/>
      </c>
      <c r="Q618" s="13">
        <f>IF(A618="","",IF(P618&lt;=0,"eingelöst",IF(AND(I618&lt;&gt;"",TODAY()&gt;I618),"abgelaufen",IF(P618&lt;C618,"teilweise","offen"))))</f>
        <v/>
      </c>
    </row>
    <row r="619">
      <c r="A619" s="7" t="n"/>
      <c r="B619" s="8" t="n"/>
      <c r="C619" s="9" t="n"/>
      <c r="D619" s="10" t="n"/>
      <c r="E619" s="10" t="n"/>
      <c r="F619" s="10" t="n"/>
      <c r="G619" s="10" t="n"/>
      <c r="H619" s="10" t="n"/>
      <c r="I619" s="11">
        <f>IF(B619="","",DATE(YEAR(B619)+3,12,31))</f>
        <v/>
      </c>
      <c r="J619" s="8" t="n"/>
      <c r="K619" s="9" t="n"/>
      <c r="L619" s="8" t="n"/>
      <c r="M619" s="9" t="n"/>
      <c r="N619" s="8" t="n"/>
      <c r="O619" s="9" t="n"/>
      <c r="P619" s="12">
        <f>IF(C619="","",C619-SUM(K619,M619,O619))</f>
        <v/>
      </c>
      <c r="Q619" s="13">
        <f>IF(A619="","",IF(P619&lt;=0,"eingelöst",IF(AND(I619&lt;&gt;"",TODAY()&gt;I619),"abgelaufen",IF(P619&lt;C619,"teilweise","offen"))))</f>
        <v/>
      </c>
    </row>
    <row r="620">
      <c r="A620" s="7" t="n"/>
      <c r="B620" s="8" t="n"/>
      <c r="C620" s="9" t="n"/>
      <c r="D620" s="10" t="n"/>
      <c r="E620" s="10" t="n"/>
      <c r="F620" s="10" t="n"/>
      <c r="G620" s="10" t="n"/>
      <c r="H620" s="10" t="n"/>
      <c r="I620" s="11">
        <f>IF(B620="","",DATE(YEAR(B620)+3,12,31))</f>
        <v/>
      </c>
      <c r="J620" s="8" t="n"/>
      <c r="K620" s="9" t="n"/>
      <c r="L620" s="8" t="n"/>
      <c r="M620" s="9" t="n"/>
      <c r="N620" s="8" t="n"/>
      <c r="O620" s="9" t="n"/>
      <c r="P620" s="12">
        <f>IF(C620="","",C620-SUM(K620,M620,O620))</f>
        <v/>
      </c>
      <c r="Q620" s="13">
        <f>IF(A620="","",IF(P620&lt;=0,"eingelöst",IF(AND(I620&lt;&gt;"",TODAY()&gt;I620),"abgelaufen",IF(P620&lt;C620,"teilweise","offen"))))</f>
        <v/>
      </c>
    </row>
    <row r="621">
      <c r="A621" s="7" t="n"/>
      <c r="B621" s="8" t="n"/>
      <c r="C621" s="9" t="n"/>
      <c r="D621" s="10" t="n"/>
      <c r="E621" s="10" t="n"/>
      <c r="F621" s="10" t="n"/>
      <c r="G621" s="10" t="n"/>
      <c r="H621" s="10" t="n"/>
      <c r="I621" s="11">
        <f>IF(B621="","",DATE(YEAR(B621)+3,12,31))</f>
        <v/>
      </c>
      <c r="J621" s="8" t="n"/>
      <c r="K621" s="9" t="n"/>
      <c r="L621" s="8" t="n"/>
      <c r="M621" s="9" t="n"/>
      <c r="N621" s="8" t="n"/>
      <c r="O621" s="9" t="n"/>
      <c r="P621" s="12">
        <f>IF(C621="","",C621-SUM(K621,M621,O621))</f>
        <v/>
      </c>
      <c r="Q621" s="13">
        <f>IF(A621="","",IF(P621&lt;=0,"eingelöst",IF(AND(I621&lt;&gt;"",TODAY()&gt;I621),"abgelaufen",IF(P621&lt;C621,"teilweise","offen"))))</f>
        <v/>
      </c>
    </row>
    <row r="622">
      <c r="A622" s="7" t="n"/>
      <c r="B622" s="8" t="n"/>
      <c r="C622" s="9" t="n"/>
      <c r="D622" s="10" t="n"/>
      <c r="E622" s="10" t="n"/>
      <c r="F622" s="10" t="n"/>
      <c r="G622" s="10" t="n"/>
      <c r="H622" s="10" t="n"/>
      <c r="I622" s="11">
        <f>IF(B622="","",DATE(YEAR(B622)+3,12,31))</f>
        <v/>
      </c>
      <c r="J622" s="8" t="n"/>
      <c r="K622" s="9" t="n"/>
      <c r="L622" s="8" t="n"/>
      <c r="M622" s="9" t="n"/>
      <c r="N622" s="8" t="n"/>
      <c r="O622" s="9" t="n"/>
      <c r="P622" s="12">
        <f>IF(C622="","",C622-SUM(K622,M622,O622))</f>
        <v/>
      </c>
      <c r="Q622" s="13">
        <f>IF(A622="","",IF(P622&lt;=0,"eingelöst",IF(AND(I622&lt;&gt;"",TODAY()&gt;I622),"abgelaufen",IF(P622&lt;C622,"teilweise","offen"))))</f>
        <v/>
      </c>
    </row>
    <row r="623">
      <c r="A623" s="7" t="n"/>
      <c r="B623" s="8" t="n"/>
      <c r="C623" s="9" t="n"/>
      <c r="D623" s="10" t="n"/>
      <c r="E623" s="10" t="n"/>
      <c r="F623" s="10" t="n"/>
      <c r="G623" s="10" t="n"/>
      <c r="H623" s="10" t="n"/>
      <c r="I623" s="11">
        <f>IF(B623="","",DATE(YEAR(B623)+3,12,31))</f>
        <v/>
      </c>
      <c r="J623" s="8" t="n"/>
      <c r="K623" s="9" t="n"/>
      <c r="L623" s="8" t="n"/>
      <c r="M623" s="9" t="n"/>
      <c r="N623" s="8" t="n"/>
      <c r="O623" s="9" t="n"/>
      <c r="P623" s="12">
        <f>IF(C623="","",C623-SUM(K623,M623,O623))</f>
        <v/>
      </c>
      <c r="Q623" s="13">
        <f>IF(A623="","",IF(P623&lt;=0,"eingelöst",IF(AND(I623&lt;&gt;"",TODAY()&gt;I623),"abgelaufen",IF(P623&lt;C623,"teilweise","offen"))))</f>
        <v/>
      </c>
    </row>
    <row r="624">
      <c r="A624" s="7" t="n"/>
      <c r="B624" s="8" t="n"/>
      <c r="C624" s="9" t="n"/>
      <c r="D624" s="10" t="n"/>
      <c r="E624" s="10" t="n"/>
      <c r="F624" s="10" t="n"/>
      <c r="G624" s="10" t="n"/>
      <c r="H624" s="10" t="n"/>
      <c r="I624" s="11">
        <f>IF(B624="","",DATE(YEAR(B624)+3,12,31))</f>
        <v/>
      </c>
      <c r="J624" s="8" t="n"/>
      <c r="K624" s="9" t="n"/>
      <c r="L624" s="8" t="n"/>
      <c r="M624" s="9" t="n"/>
      <c r="N624" s="8" t="n"/>
      <c r="O624" s="9" t="n"/>
      <c r="P624" s="12">
        <f>IF(C624="","",C624-SUM(K624,M624,O624))</f>
        <v/>
      </c>
      <c r="Q624" s="13">
        <f>IF(A624="","",IF(P624&lt;=0,"eingelöst",IF(AND(I624&lt;&gt;"",TODAY()&gt;I624),"abgelaufen",IF(P624&lt;C624,"teilweise","offen"))))</f>
        <v/>
      </c>
    </row>
    <row r="625">
      <c r="A625" s="7" t="n"/>
      <c r="B625" s="8" t="n"/>
      <c r="C625" s="9" t="n"/>
      <c r="D625" s="10" t="n"/>
      <c r="E625" s="10" t="n"/>
      <c r="F625" s="10" t="n"/>
      <c r="G625" s="10" t="n"/>
      <c r="H625" s="10" t="n"/>
      <c r="I625" s="11">
        <f>IF(B625="","",DATE(YEAR(B625)+3,12,31))</f>
        <v/>
      </c>
      <c r="J625" s="8" t="n"/>
      <c r="K625" s="9" t="n"/>
      <c r="L625" s="8" t="n"/>
      <c r="M625" s="9" t="n"/>
      <c r="N625" s="8" t="n"/>
      <c r="O625" s="9" t="n"/>
      <c r="P625" s="12">
        <f>IF(C625="","",C625-SUM(K625,M625,O625))</f>
        <v/>
      </c>
      <c r="Q625" s="13">
        <f>IF(A625="","",IF(P625&lt;=0,"eingelöst",IF(AND(I625&lt;&gt;"",TODAY()&gt;I625),"abgelaufen",IF(P625&lt;C625,"teilweise","offen"))))</f>
        <v/>
      </c>
    </row>
    <row r="626">
      <c r="A626" s="7" t="n"/>
      <c r="B626" s="8" t="n"/>
      <c r="C626" s="9" t="n"/>
      <c r="D626" s="10" t="n"/>
      <c r="E626" s="10" t="n"/>
      <c r="F626" s="10" t="n"/>
      <c r="G626" s="10" t="n"/>
      <c r="H626" s="10" t="n"/>
      <c r="I626" s="11">
        <f>IF(B626="","",DATE(YEAR(B626)+3,12,31))</f>
        <v/>
      </c>
      <c r="J626" s="8" t="n"/>
      <c r="K626" s="9" t="n"/>
      <c r="L626" s="8" t="n"/>
      <c r="M626" s="9" t="n"/>
      <c r="N626" s="8" t="n"/>
      <c r="O626" s="9" t="n"/>
      <c r="P626" s="12">
        <f>IF(C626="","",C626-SUM(K626,M626,O626))</f>
        <v/>
      </c>
      <c r="Q626" s="13">
        <f>IF(A626="","",IF(P626&lt;=0,"eingelöst",IF(AND(I626&lt;&gt;"",TODAY()&gt;I626),"abgelaufen",IF(P626&lt;C626,"teilweise","offen"))))</f>
        <v/>
      </c>
    </row>
    <row r="627">
      <c r="A627" s="7" t="n"/>
      <c r="B627" s="8" t="n"/>
      <c r="C627" s="9" t="n"/>
      <c r="D627" s="10" t="n"/>
      <c r="E627" s="10" t="n"/>
      <c r="F627" s="10" t="n"/>
      <c r="G627" s="10" t="n"/>
      <c r="H627" s="10" t="n"/>
      <c r="I627" s="11">
        <f>IF(B627="","",DATE(YEAR(B627)+3,12,31))</f>
        <v/>
      </c>
      <c r="J627" s="8" t="n"/>
      <c r="K627" s="9" t="n"/>
      <c r="L627" s="8" t="n"/>
      <c r="M627" s="9" t="n"/>
      <c r="N627" s="8" t="n"/>
      <c r="O627" s="9" t="n"/>
      <c r="P627" s="12">
        <f>IF(C627="","",C627-SUM(K627,M627,O627))</f>
        <v/>
      </c>
      <c r="Q627" s="13">
        <f>IF(A627="","",IF(P627&lt;=0,"eingelöst",IF(AND(I627&lt;&gt;"",TODAY()&gt;I627),"abgelaufen",IF(P627&lt;C627,"teilweise","offen"))))</f>
        <v/>
      </c>
    </row>
    <row r="628">
      <c r="A628" s="7" t="n"/>
      <c r="B628" s="8" t="n"/>
      <c r="C628" s="9" t="n"/>
      <c r="D628" s="10" t="n"/>
      <c r="E628" s="10" t="n"/>
      <c r="F628" s="10" t="n"/>
      <c r="G628" s="10" t="n"/>
      <c r="H628" s="10" t="n"/>
      <c r="I628" s="11">
        <f>IF(B628="","",DATE(YEAR(B628)+3,12,31))</f>
        <v/>
      </c>
      <c r="J628" s="8" t="n"/>
      <c r="K628" s="9" t="n"/>
      <c r="L628" s="8" t="n"/>
      <c r="M628" s="9" t="n"/>
      <c r="N628" s="8" t="n"/>
      <c r="O628" s="9" t="n"/>
      <c r="P628" s="12">
        <f>IF(C628="","",C628-SUM(K628,M628,O628))</f>
        <v/>
      </c>
      <c r="Q628" s="13">
        <f>IF(A628="","",IF(P628&lt;=0,"eingelöst",IF(AND(I628&lt;&gt;"",TODAY()&gt;I628),"abgelaufen",IF(P628&lt;C628,"teilweise","offen"))))</f>
        <v/>
      </c>
    </row>
    <row r="629">
      <c r="A629" s="7" t="n"/>
      <c r="B629" s="8" t="n"/>
      <c r="C629" s="9" t="n"/>
      <c r="D629" s="10" t="n"/>
      <c r="E629" s="10" t="n"/>
      <c r="F629" s="10" t="n"/>
      <c r="G629" s="10" t="n"/>
      <c r="H629" s="10" t="n"/>
      <c r="I629" s="11">
        <f>IF(B629="","",DATE(YEAR(B629)+3,12,31))</f>
        <v/>
      </c>
      <c r="J629" s="8" t="n"/>
      <c r="K629" s="9" t="n"/>
      <c r="L629" s="8" t="n"/>
      <c r="M629" s="9" t="n"/>
      <c r="N629" s="8" t="n"/>
      <c r="O629" s="9" t="n"/>
      <c r="P629" s="12">
        <f>IF(C629="","",C629-SUM(K629,M629,O629))</f>
        <v/>
      </c>
      <c r="Q629" s="13">
        <f>IF(A629="","",IF(P629&lt;=0,"eingelöst",IF(AND(I629&lt;&gt;"",TODAY()&gt;I629),"abgelaufen",IF(P629&lt;C629,"teilweise","offen"))))</f>
        <v/>
      </c>
    </row>
    <row r="630">
      <c r="A630" s="7" t="n"/>
      <c r="B630" s="8" t="n"/>
      <c r="C630" s="9" t="n"/>
      <c r="D630" s="10" t="n"/>
      <c r="E630" s="10" t="n"/>
      <c r="F630" s="10" t="n"/>
      <c r="G630" s="10" t="n"/>
      <c r="H630" s="10" t="n"/>
      <c r="I630" s="11">
        <f>IF(B630="","",DATE(YEAR(B630)+3,12,31))</f>
        <v/>
      </c>
      <c r="J630" s="8" t="n"/>
      <c r="K630" s="9" t="n"/>
      <c r="L630" s="8" t="n"/>
      <c r="M630" s="9" t="n"/>
      <c r="N630" s="8" t="n"/>
      <c r="O630" s="9" t="n"/>
      <c r="P630" s="12">
        <f>IF(C630="","",C630-SUM(K630,M630,O630))</f>
        <v/>
      </c>
      <c r="Q630" s="13">
        <f>IF(A630="","",IF(P630&lt;=0,"eingelöst",IF(AND(I630&lt;&gt;"",TODAY()&gt;I630),"abgelaufen",IF(P630&lt;C630,"teilweise","offen"))))</f>
        <v/>
      </c>
    </row>
    <row r="631">
      <c r="A631" s="7" t="n"/>
      <c r="B631" s="8" t="n"/>
      <c r="C631" s="9" t="n"/>
      <c r="D631" s="10" t="n"/>
      <c r="E631" s="10" t="n"/>
      <c r="F631" s="10" t="n"/>
      <c r="G631" s="10" t="n"/>
      <c r="H631" s="10" t="n"/>
      <c r="I631" s="11">
        <f>IF(B631="","",DATE(YEAR(B631)+3,12,31))</f>
        <v/>
      </c>
      <c r="J631" s="8" t="n"/>
      <c r="K631" s="9" t="n"/>
      <c r="L631" s="8" t="n"/>
      <c r="M631" s="9" t="n"/>
      <c r="N631" s="8" t="n"/>
      <c r="O631" s="9" t="n"/>
      <c r="P631" s="12">
        <f>IF(C631="","",C631-SUM(K631,M631,O631))</f>
        <v/>
      </c>
      <c r="Q631" s="13">
        <f>IF(A631="","",IF(P631&lt;=0,"eingelöst",IF(AND(I631&lt;&gt;"",TODAY()&gt;I631),"abgelaufen",IF(P631&lt;C631,"teilweise","offen"))))</f>
        <v/>
      </c>
    </row>
    <row r="632">
      <c r="A632" s="7" t="n"/>
      <c r="B632" s="8" t="n"/>
      <c r="C632" s="9" t="n"/>
      <c r="D632" s="10" t="n"/>
      <c r="E632" s="10" t="n"/>
      <c r="F632" s="10" t="n"/>
      <c r="G632" s="10" t="n"/>
      <c r="H632" s="10" t="n"/>
      <c r="I632" s="11">
        <f>IF(B632="","",DATE(YEAR(B632)+3,12,31))</f>
        <v/>
      </c>
      <c r="J632" s="8" t="n"/>
      <c r="K632" s="9" t="n"/>
      <c r="L632" s="8" t="n"/>
      <c r="M632" s="9" t="n"/>
      <c r="N632" s="8" t="n"/>
      <c r="O632" s="9" t="n"/>
      <c r="P632" s="12">
        <f>IF(C632="","",C632-SUM(K632,M632,O632))</f>
        <v/>
      </c>
      <c r="Q632" s="13">
        <f>IF(A632="","",IF(P632&lt;=0,"eingelöst",IF(AND(I632&lt;&gt;"",TODAY()&gt;I632),"abgelaufen",IF(P632&lt;C632,"teilweise","offen"))))</f>
        <v/>
      </c>
    </row>
    <row r="633">
      <c r="A633" s="7" t="n"/>
      <c r="B633" s="8" t="n"/>
      <c r="C633" s="9" t="n"/>
      <c r="D633" s="10" t="n"/>
      <c r="E633" s="10" t="n"/>
      <c r="F633" s="10" t="n"/>
      <c r="G633" s="10" t="n"/>
      <c r="H633" s="10" t="n"/>
      <c r="I633" s="11">
        <f>IF(B633="","",DATE(YEAR(B633)+3,12,31))</f>
        <v/>
      </c>
      <c r="J633" s="8" t="n"/>
      <c r="K633" s="9" t="n"/>
      <c r="L633" s="8" t="n"/>
      <c r="M633" s="9" t="n"/>
      <c r="N633" s="8" t="n"/>
      <c r="O633" s="9" t="n"/>
      <c r="P633" s="12">
        <f>IF(C633="","",C633-SUM(K633,M633,O633))</f>
        <v/>
      </c>
      <c r="Q633" s="13">
        <f>IF(A633="","",IF(P633&lt;=0,"eingelöst",IF(AND(I633&lt;&gt;"",TODAY()&gt;I633),"abgelaufen",IF(P633&lt;C633,"teilweise","offen"))))</f>
        <v/>
      </c>
    </row>
    <row r="634">
      <c r="A634" s="7" t="n"/>
      <c r="B634" s="8" t="n"/>
      <c r="C634" s="9" t="n"/>
      <c r="D634" s="10" t="n"/>
      <c r="E634" s="10" t="n"/>
      <c r="F634" s="10" t="n"/>
      <c r="G634" s="10" t="n"/>
      <c r="H634" s="10" t="n"/>
      <c r="I634" s="11">
        <f>IF(B634="","",DATE(YEAR(B634)+3,12,31))</f>
        <v/>
      </c>
      <c r="J634" s="8" t="n"/>
      <c r="K634" s="9" t="n"/>
      <c r="L634" s="8" t="n"/>
      <c r="M634" s="9" t="n"/>
      <c r="N634" s="8" t="n"/>
      <c r="O634" s="9" t="n"/>
      <c r="P634" s="12">
        <f>IF(C634="","",C634-SUM(K634,M634,O634))</f>
        <v/>
      </c>
      <c r="Q634" s="13">
        <f>IF(A634="","",IF(P634&lt;=0,"eingelöst",IF(AND(I634&lt;&gt;"",TODAY()&gt;I634),"abgelaufen",IF(P634&lt;C634,"teilweise","offen"))))</f>
        <v/>
      </c>
    </row>
    <row r="635">
      <c r="A635" s="7" t="n"/>
      <c r="B635" s="8" t="n"/>
      <c r="C635" s="9" t="n"/>
      <c r="D635" s="10" t="n"/>
      <c r="E635" s="10" t="n"/>
      <c r="F635" s="10" t="n"/>
      <c r="G635" s="10" t="n"/>
      <c r="H635" s="10" t="n"/>
      <c r="I635" s="11">
        <f>IF(B635="","",DATE(YEAR(B635)+3,12,31))</f>
        <v/>
      </c>
      <c r="J635" s="8" t="n"/>
      <c r="K635" s="9" t="n"/>
      <c r="L635" s="8" t="n"/>
      <c r="M635" s="9" t="n"/>
      <c r="N635" s="8" t="n"/>
      <c r="O635" s="9" t="n"/>
      <c r="P635" s="12">
        <f>IF(C635="","",C635-SUM(K635,M635,O635))</f>
        <v/>
      </c>
      <c r="Q635" s="13">
        <f>IF(A635="","",IF(P635&lt;=0,"eingelöst",IF(AND(I635&lt;&gt;"",TODAY()&gt;I635),"abgelaufen",IF(P635&lt;C635,"teilweise","offen"))))</f>
        <v/>
      </c>
    </row>
    <row r="636">
      <c r="A636" s="7" t="n"/>
      <c r="B636" s="8" t="n"/>
      <c r="C636" s="9" t="n"/>
      <c r="D636" s="10" t="n"/>
      <c r="E636" s="10" t="n"/>
      <c r="F636" s="10" t="n"/>
      <c r="G636" s="10" t="n"/>
      <c r="H636" s="10" t="n"/>
      <c r="I636" s="11">
        <f>IF(B636="","",DATE(YEAR(B636)+3,12,31))</f>
        <v/>
      </c>
      <c r="J636" s="8" t="n"/>
      <c r="K636" s="9" t="n"/>
      <c r="L636" s="8" t="n"/>
      <c r="M636" s="9" t="n"/>
      <c r="N636" s="8" t="n"/>
      <c r="O636" s="9" t="n"/>
      <c r="P636" s="12">
        <f>IF(C636="","",C636-SUM(K636,M636,O636))</f>
        <v/>
      </c>
      <c r="Q636" s="13">
        <f>IF(A636="","",IF(P636&lt;=0,"eingelöst",IF(AND(I636&lt;&gt;"",TODAY()&gt;I636),"abgelaufen",IF(P636&lt;C636,"teilweise","offen"))))</f>
        <v/>
      </c>
    </row>
    <row r="637">
      <c r="A637" s="7" t="n"/>
      <c r="B637" s="8" t="n"/>
      <c r="C637" s="9" t="n"/>
      <c r="D637" s="10" t="n"/>
      <c r="E637" s="10" t="n"/>
      <c r="F637" s="10" t="n"/>
      <c r="G637" s="10" t="n"/>
      <c r="H637" s="10" t="n"/>
      <c r="I637" s="11">
        <f>IF(B637="","",DATE(YEAR(B637)+3,12,31))</f>
        <v/>
      </c>
      <c r="J637" s="8" t="n"/>
      <c r="K637" s="9" t="n"/>
      <c r="L637" s="8" t="n"/>
      <c r="M637" s="9" t="n"/>
      <c r="N637" s="8" t="n"/>
      <c r="O637" s="9" t="n"/>
      <c r="P637" s="12">
        <f>IF(C637="","",C637-SUM(K637,M637,O637))</f>
        <v/>
      </c>
      <c r="Q637" s="13">
        <f>IF(A637="","",IF(P637&lt;=0,"eingelöst",IF(AND(I637&lt;&gt;"",TODAY()&gt;I637),"abgelaufen",IF(P637&lt;C637,"teilweise","offen"))))</f>
        <v/>
      </c>
    </row>
    <row r="638">
      <c r="A638" s="7" t="n"/>
      <c r="B638" s="8" t="n"/>
      <c r="C638" s="9" t="n"/>
      <c r="D638" s="10" t="n"/>
      <c r="E638" s="10" t="n"/>
      <c r="F638" s="10" t="n"/>
      <c r="G638" s="10" t="n"/>
      <c r="H638" s="10" t="n"/>
      <c r="I638" s="11">
        <f>IF(B638="","",DATE(YEAR(B638)+3,12,31))</f>
        <v/>
      </c>
      <c r="J638" s="8" t="n"/>
      <c r="K638" s="9" t="n"/>
      <c r="L638" s="8" t="n"/>
      <c r="M638" s="9" t="n"/>
      <c r="N638" s="8" t="n"/>
      <c r="O638" s="9" t="n"/>
      <c r="P638" s="12">
        <f>IF(C638="","",C638-SUM(K638,M638,O638))</f>
        <v/>
      </c>
      <c r="Q638" s="13">
        <f>IF(A638="","",IF(P638&lt;=0,"eingelöst",IF(AND(I638&lt;&gt;"",TODAY()&gt;I638),"abgelaufen",IF(P638&lt;C638,"teilweise","offen"))))</f>
        <v/>
      </c>
    </row>
    <row r="639">
      <c r="A639" s="7" t="n"/>
      <c r="B639" s="8" t="n"/>
      <c r="C639" s="9" t="n"/>
      <c r="D639" s="10" t="n"/>
      <c r="E639" s="10" t="n"/>
      <c r="F639" s="10" t="n"/>
      <c r="G639" s="10" t="n"/>
      <c r="H639" s="10" t="n"/>
      <c r="I639" s="11">
        <f>IF(B639="","",DATE(YEAR(B639)+3,12,31))</f>
        <v/>
      </c>
      <c r="J639" s="8" t="n"/>
      <c r="K639" s="9" t="n"/>
      <c r="L639" s="8" t="n"/>
      <c r="M639" s="9" t="n"/>
      <c r="N639" s="8" t="n"/>
      <c r="O639" s="9" t="n"/>
      <c r="P639" s="12">
        <f>IF(C639="","",C639-SUM(K639,M639,O639))</f>
        <v/>
      </c>
      <c r="Q639" s="13">
        <f>IF(A639="","",IF(P639&lt;=0,"eingelöst",IF(AND(I639&lt;&gt;"",TODAY()&gt;I639),"abgelaufen",IF(P639&lt;C639,"teilweise","offen"))))</f>
        <v/>
      </c>
    </row>
    <row r="640">
      <c r="A640" s="7" t="n"/>
      <c r="B640" s="8" t="n"/>
      <c r="C640" s="9" t="n"/>
      <c r="D640" s="10" t="n"/>
      <c r="E640" s="10" t="n"/>
      <c r="F640" s="10" t="n"/>
      <c r="G640" s="10" t="n"/>
      <c r="H640" s="10" t="n"/>
      <c r="I640" s="11">
        <f>IF(B640="","",DATE(YEAR(B640)+3,12,31))</f>
        <v/>
      </c>
      <c r="J640" s="8" t="n"/>
      <c r="K640" s="9" t="n"/>
      <c r="L640" s="8" t="n"/>
      <c r="M640" s="9" t="n"/>
      <c r="N640" s="8" t="n"/>
      <c r="O640" s="9" t="n"/>
      <c r="P640" s="12">
        <f>IF(C640="","",C640-SUM(K640,M640,O640))</f>
        <v/>
      </c>
      <c r="Q640" s="13">
        <f>IF(A640="","",IF(P640&lt;=0,"eingelöst",IF(AND(I640&lt;&gt;"",TODAY()&gt;I640),"abgelaufen",IF(P640&lt;C640,"teilweise","offen"))))</f>
        <v/>
      </c>
    </row>
    <row r="641">
      <c r="A641" s="7" t="n"/>
      <c r="B641" s="8" t="n"/>
      <c r="C641" s="9" t="n"/>
      <c r="D641" s="10" t="n"/>
      <c r="E641" s="10" t="n"/>
      <c r="F641" s="10" t="n"/>
      <c r="G641" s="10" t="n"/>
      <c r="H641" s="10" t="n"/>
      <c r="I641" s="11">
        <f>IF(B641="","",DATE(YEAR(B641)+3,12,31))</f>
        <v/>
      </c>
      <c r="J641" s="8" t="n"/>
      <c r="K641" s="9" t="n"/>
      <c r="L641" s="8" t="n"/>
      <c r="M641" s="9" t="n"/>
      <c r="N641" s="8" t="n"/>
      <c r="O641" s="9" t="n"/>
      <c r="P641" s="12">
        <f>IF(C641="","",C641-SUM(K641,M641,O641))</f>
        <v/>
      </c>
      <c r="Q641" s="13">
        <f>IF(A641="","",IF(P641&lt;=0,"eingelöst",IF(AND(I641&lt;&gt;"",TODAY()&gt;I641),"abgelaufen",IF(P641&lt;C641,"teilweise","offen"))))</f>
        <v/>
      </c>
    </row>
    <row r="642">
      <c r="A642" s="7" t="n"/>
      <c r="B642" s="8" t="n"/>
      <c r="C642" s="9" t="n"/>
      <c r="D642" s="10" t="n"/>
      <c r="E642" s="10" t="n"/>
      <c r="F642" s="10" t="n"/>
      <c r="G642" s="10" t="n"/>
      <c r="H642" s="10" t="n"/>
      <c r="I642" s="11">
        <f>IF(B642="","",DATE(YEAR(B642)+3,12,31))</f>
        <v/>
      </c>
      <c r="J642" s="8" t="n"/>
      <c r="K642" s="9" t="n"/>
      <c r="L642" s="8" t="n"/>
      <c r="M642" s="9" t="n"/>
      <c r="N642" s="8" t="n"/>
      <c r="O642" s="9" t="n"/>
      <c r="P642" s="12">
        <f>IF(C642="","",C642-SUM(K642,M642,O642))</f>
        <v/>
      </c>
      <c r="Q642" s="13">
        <f>IF(A642="","",IF(P642&lt;=0,"eingelöst",IF(AND(I642&lt;&gt;"",TODAY()&gt;I642),"abgelaufen",IF(P642&lt;C642,"teilweise","offen"))))</f>
        <v/>
      </c>
    </row>
    <row r="643">
      <c r="A643" s="7" t="n"/>
      <c r="B643" s="8" t="n"/>
      <c r="C643" s="9" t="n"/>
      <c r="D643" s="10" t="n"/>
      <c r="E643" s="10" t="n"/>
      <c r="F643" s="10" t="n"/>
      <c r="G643" s="10" t="n"/>
      <c r="H643" s="10" t="n"/>
      <c r="I643" s="11">
        <f>IF(B643="","",DATE(YEAR(B643)+3,12,31))</f>
        <v/>
      </c>
      <c r="J643" s="8" t="n"/>
      <c r="K643" s="9" t="n"/>
      <c r="L643" s="8" t="n"/>
      <c r="M643" s="9" t="n"/>
      <c r="N643" s="8" t="n"/>
      <c r="O643" s="9" t="n"/>
      <c r="P643" s="12">
        <f>IF(C643="","",C643-SUM(K643,M643,O643))</f>
        <v/>
      </c>
      <c r="Q643" s="13">
        <f>IF(A643="","",IF(P643&lt;=0,"eingelöst",IF(AND(I643&lt;&gt;"",TODAY()&gt;I643),"abgelaufen",IF(P643&lt;C643,"teilweise","offen"))))</f>
        <v/>
      </c>
    </row>
    <row r="644">
      <c r="A644" s="7" t="n"/>
      <c r="B644" s="8" t="n"/>
      <c r="C644" s="9" t="n"/>
      <c r="D644" s="10" t="n"/>
      <c r="E644" s="10" t="n"/>
      <c r="F644" s="10" t="n"/>
      <c r="G644" s="10" t="n"/>
      <c r="H644" s="10" t="n"/>
      <c r="I644" s="11">
        <f>IF(B644="","",DATE(YEAR(B644)+3,12,31))</f>
        <v/>
      </c>
      <c r="J644" s="8" t="n"/>
      <c r="K644" s="9" t="n"/>
      <c r="L644" s="8" t="n"/>
      <c r="M644" s="9" t="n"/>
      <c r="N644" s="8" t="n"/>
      <c r="O644" s="9" t="n"/>
      <c r="P644" s="12">
        <f>IF(C644="","",C644-SUM(K644,M644,O644))</f>
        <v/>
      </c>
      <c r="Q644" s="13">
        <f>IF(A644="","",IF(P644&lt;=0,"eingelöst",IF(AND(I644&lt;&gt;"",TODAY()&gt;I644),"abgelaufen",IF(P644&lt;C644,"teilweise","offen"))))</f>
        <v/>
      </c>
    </row>
    <row r="645">
      <c r="A645" s="7" t="n"/>
      <c r="B645" s="8" t="n"/>
      <c r="C645" s="9" t="n"/>
      <c r="D645" s="10" t="n"/>
      <c r="E645" s="10" t="n"/>
      <c r="F645" s="10" t="n"/>
      <c r="G645" s="10" t="n"/>
      <c r="H645" s="10" t="n"/>
      <c r="I645" s="11">
        <f>IF(B645="","",DATE(YEAR(B645)+3,12,31))</f>
        <v/>
      </c>
      <c r="J645" s="8" t="n"/>
      <c r="K645" s="9" t="n"/>
      <c r="L645" s="8" t="n"/>
      <c r="M645" s="9" t="n"/>
      <c r="N645" s="8" t="n"/>
      <c r="O645" s="9" t="n"/>
      <c r="P645" s="12">
        <f>IF(C645="","",C645-SUM(K645,M645,O645))</f>
        <v/>
      </c>
      <c r="Q645" s="13">
        <f>IF(A645="","",IF(P645&lt;=0,"eingelöst",IF(AND(I645&lt;&gt;"",TODAY()&gt;I645),"abgelaufen",IF(P645&lt;C645,"teilweise","offen"))))</f>
        <v/>
      </c>
    </row>
    <row r="646">
      <c r="A646" s="7" t="n"/>
      <c r="B646" s="8" t="n"/>
      <c r="C646" s="9" t="n"/>
      <c r="D646" s="10" t="n"/>
      <c r="E646" s="10" t="n"/>
      <c r="F646" s="10" t="n"/>
      <c r="G646" s="10" t="n"/>
      <c r="H646" s="10" t="n"/>
      <c r="I646" s="11">
        <f>IF(B646="","",DATE(YEAR(B646)+3,12,31))</f>
        <v/>
      </c>
      <c r="J646" s="8" t="n"/>
      <c r="K646" s="9" t="n"/>
      <c r="L646" s="8" t="n"/>
      <c r="M646" s="9" t="n"/>
      <c r="N646" s="8" t="n"/>
      <c r="O646" s="9" t="n"/>
      <c r="P646" s="12">
        <f>IF(C646="","",C646-SUM(K646,M646,O646))</f>
        <v/>
      </c>
      <c r="Q646" s="13">
        <f>IF(A646="","",IF(P646&lt;=0,"eingelöst",IF(AND(I646&lt;&gt;"",TODAY()&gt;I646),"abgelaufen",IF(P646&lt;C646,"teilweise","offen"))))</f>
        <v/>
      </c>
    </row>
    <row r="647">
      <c r="A647" s="7" t="n"/>
      <c r="B647" s="8" t="n"/>
      <c r="C647" s="9" t="n"/>
      <c r="D647" s="10" t="n"/>
      <c r="E647" s="10" t="n"/>
      <c r="F647" s="10" t="n"/>
      <c r="G647" s="10" t="n"/>
      <c r="H647" s="10" t="n"/>
      <c r="I647" s="11">
        <f>IF(B647="","",DATE(YEAR(B647)+3,12,31))</f>
        <v/>
      </c>
      <c r="J647" s="8" t="n"/>
      <c r="K647" s="9" t="n"/>
      <c r="L647" s="8" t="n"/>
      <c r="M647" s="9" t="n"/>
      <c r="N647" s="8" t="n"/>
      <c r="O647" s="9" t="n"/>
      <c r="P647" s="12">
        <f>IF(C647="","",C647-SUM(K647,M647,O647))</f>
        <v/>
      </c>
      <c r="Q647" s="13">
        <f>IF(A647="","",IF(P647&lt;=0,"eingelöst",IF(AND(I647&lt;&gt;"",TODAY()&gt;I647),"abgelaufen",IF(P647&lt;C647,"teilweise","offen"))))</f>
        <v/>
      </c>
    </row>
    <row r="648">
      <c r="A648" s="7" t="n"/>
      <c r="B648" s="8" t="n"/>
      <c r="C648" s="9" t="n"/>
      <c r="D648" s="10" t="n"/>
      <c r="E648" s="10" t="n"/>
      <c r="F648" s="10" t="n"/>
      <c r="G648" s="10" t="n"/>
      <c r="H648" s="10" t="n"/>
      <c r="I648" s="11">
        <f>IF(B648="","",DATE(YEAR(B648)+3,12,31))</f>
        <v/>
      </c>
      <c r="J648" s="8" t="n"/>
      <c r="K648" s="9" t="n"/>
      <c r="L648" s="8" t="n"/>
      <c r="M648" s="9" t="n"/>
      <c r="N648" s="8" t="n"/>
      <c r="O648" s="9" t="n"/>
      <c r="P648" s="12">
        <f>IF(C648="","",C648-SUM(K648,M648,O648))</f>
        <v/>
      </c>
      <c r="Q648" s="13">
        <f>IF(A648="","",IF(P648&lt;=0,"eingelöst",IF(AND(I648&lt;&gt;"",TODAY()&gt;I648),"abgelaufen",IF(P648&lt;C648,"teilweise","offen"))))</f>
        <v/>
      </c>
    </row>
    <row r="649">
      <c r="A649" s="7" t="n"/>
      <c r="B649" s="8" t="n"/>
      <c r="C649" s="9" t="n"/>
      <c r="D649" s="10" t="n"/>
      <c r="E649" s="10" t="n"/>
      <c r="F649" s="10" t="n"/>
      <c r="G649" s="10" t="n"/>
      <c r="H649" s="10" t="n"/>
      <c r="I649" s="11">
        <f>IF(B649="","",DATE(YEAR(B649)+3,12,31))</f>
        <v/>
      </c>
      <c r="J649" s="8" t="n"/>
      <c r="K649" s="9" t="n"/>
      <c r="L649" s="8" t="n"/>
      <c r="M649" s="9" t="n"/>
      <c r="N649" s="8" t="n"/>
      <c r="O649" s="9" t="n"/>
      <c r="P649" s="12">
        <f>IF(C649="","",C649-SUM(K649,M649,O649))</f>
        <v/>
      </c>
      <c r="Q649" s="13">
        <f>IF(A649="","",IF(P649&lt;=0,"eingelöst",IF(AND(I649&lt;&gt;"",TODAY()&gt;I649),"abgelaufen",IF(P649&lt;C649,"teilweise","offen"))))</f>
        <v/>
      </c>
    </row>
    <row r="650">
      <c r="A650" s="7" t="n"/>
      <c r="B650" s="8" t="n"/>
      <c r="C650" s="9" t="n"/>
      <c r="D650" s="10" t="n"/>
      <c r="E650" s="10" t="n"/>
      <c r="F650" s="10" t="n"/>
      <c r="G650" s="10" t="n"/>
      <c r="H650" s="10" t="n"/>
      <c r="I650" s="11">
        <f>IF(B650="","",DATE(YEAR(B650)+3,12,31))</f>
        <v/>
      </c>
      <c r="J650" s="8" t="n"/>
      <c r="K650" s="9" t="n"/>
      <c r="L650" s="8" t="n"/>
      <c r="M650" s="9" t="n"/>
      <c r="N650" s="8" t="n"/>
      <c r="O650" s="9" t="n"/>
      <c r="P650" s="12">
        <f>IF(C650="","",C650-SUM(K650,M650,O650))</f>
        <v/>
      </c>
      <c r="Q650" s="13">
        <f>IF(A650="","",IF(P650&lt;=0,"eingelöst",IF(AND(I650&lt;&gt;"",TODAY()&gt;I650),"abgelaufen",IF(P650&lt;C650,"teilweise","offen"))))</f>
        <v/>
      </c>
    </row>
    <row r="651">
      <c r="A651" s="7" t="n"/>
      <c r="B651" s="8" t="n"/>
      <c r="C651" s="9" t="n"/>
      <c r="D651" s="10" t="n"/>
      <c r="E651" s="10" t="n"/>
      <c r="F651" s="10" t="n"/>
      <c r="G651" s="10" t="n"/>
      <c r="H651" s="10" t="n"/>
      <c r="I651" s="11">
        <f>IF(B651="","",DATE(YEAR(B651)+3,12,31))</f>
        <v/>
      </c>
      <c r="J651" s="8" t="n"/>
      <c r="K651" s="9" t="n"/>
      <c r="L651" s="8" t="n"/>
      <c r="M651" s="9" t="n"/>
      <c r="N651" s="8" t="n"/>
      <c r="O651" s="9" t="n"/>
      <c r="P651" s="12">
        <f>IF(C651="","",C651-SUM(K651,M651,O651))</f>
        <v/>
      </c>
      <c r="Q651" s="13">
        <f>IF(A651="","",IF(P651&lt;=0,"eingelöst",IF(AND(I651&lt;&gt;"",TODAY()&gt;I651),"abgelaufen",IF(P651&lt;C651,"teilweise","offen"))))</f>
        <v/>
      </c>
    </row>
    <row r="652">
      <c r="A652" s="7" t="n"/>
      <c r="B652" s="8" t="n"/>
      <c r="C652" s="9" t="n"/>
      <c r="D652" s="10" t="n"/>
      <c r="E652" s="10" t="n"/>
      <c r="F652" s="10" t="n"/>
      <c r="G652" s="10" t="n"/>
      <c r="H652" s="10" t="n"/>
      <c r="I652" s="11">
        <f>IF(B652="","",DATE(YEAR(B652)+3,12,31))</f>
        <v/>
      </c>
      <c r="J652" s="8" t="n"/>
      <c r="K652" s="9" t="n"/>
      <c r="L652" s="8" t="n"/>
      <c r="M652" s="9" t="n"/>
      <c r="N652" s="8" t="n"/>
      <c r="O652" s="9" t="n"/>
      <c r="P652" s="12">
        <f>IF(C652="","",C652-SUM(K652,M652,O652))</f>
        <v/>
      </c>
      <c r="Q652" s="13">
        <f>IF(A652="","",IF(P652&lt;=0,"eingelöst",IF(AND(I652&lt;&gt;"",TODAY()&gt;I652),"abgelaufen",IF(P652&lt;C652,"teilweise","offen"))))</f>
        <v/>
      </c>
    </row>
    <row r="653">
      <c r="A653" s="7" t="n"/>
      <c r="B653" s="8" t="n"/>
      <c r="C653" s="9" t="n"/>
      <c r="D653" s="10" t="n"/>
      <c r="E653" s="10" t="n"/>
      <c r="F653" s="10" t="n"/>
      <c r="G653" s="10" t="n"/>
      <c r="H653" s="10" t="n"/>
      <c r="I653" s="11">
        <f>IF(B653="","",DATE(YEAR(B653)+3,12,31))</f>
        <v/>
      </c>
      <c r="J653" s="8" t="n"/>
      <c r="K653" s="9" t="n"/>
      <c r="L653" s="8" t="n"/>
      <c r="M653" s="9" t="n"/>
      <c r="N653" s="8" t="n"/>
      <c r="O653" s="9" t="n"/>
      <c r="P653" s="12">
        <f>IF(C653="","",C653-SUM(K653,M653,O653))</f>
        <v/>
      </c>
      <c r="Q653" s="13">
        <f>IF(A653="","",IF(P653&lt;=0,"eingelöst",IF(AND(I653&lt;&gt;"",TODAY()&gt;I653),"abgelaufen",IF(P653&lt;C653,"teilweise","offen"))))</f>
        <v/>
      </c>
    </row>
    <row r="654">
      <c r="A654" s="7" t="n"/>
      <c r="B654" s="8" t="n"/>
      <c r="C654" s="9" t="n"/>
      <c r="D654" s="10" t="n"/>
      <c r="E654" s="10" t="n"/>
      <c r="F654" s="10" t="n"/>
      <c r="G654" s="10" t="n"/>
      <c r="H654" s="10" t="n"/>
      <c r="I654" s="11">
        <f>IF(B654="","",DATE(YEAR(B654)+3,12,31))</f>
        <v/>
      </c>
      <c r="J654" s="8" t="n"/>
      <c r="K654" s="9" t="n"/>
      <c r="L654" s="8" t="n"/>
      <c r="M654" s="9" t="n"/>
      <c r="N654" s="8" t="n"/>
      <c r="O654" s="9" t="n"/>
      <c r="P654" s="12">
        <f>IF(C654="","",C654-SUM(K654,M654,O654))</f>
        <v/>
      </c>
      <c r="Q654" s="13">
        <f>IF(A654="","",IF(P654&lt;=0,"eingelöst",IF(AND(I654&lt;&gt;"",TODAY()&gt;I654),"abgelaufen",IF(P654&lt;C654,"teilweise","offen"))))</f>
        <v/>
      </c>
    </row>
    <row r="655">
      <c r="A655" s="7" t="n"/>
      <c r="B655" s="8" t="n"/>
      <c r="C655" s="9" t="n"/>
      <c r="D655" s="10" t="n"/>
      <c r="E655" s="10" t="n"/>
      <c r="F655" s="10" t="n"/>
      <c r="G655" s="10" t="n"/>
      <c r="H655" s="10" t="n"/>
      <c r="I655" s="11">
        <f>IF(B655="","",DATE(YEAR(B655)+3,12,31))</f>
        <v/>
      </c>
      <c r="J655" s="8" t="n"/>
      <c r="K655" s="9" t="n"/>
      <c r="L655" s="8" t="n"/>
      <c r="M655" s="9" t="n"/>
      <c r="N655" s="8" t="n"/>
      <c r="O655" s="9" t="n"/>
      <c r="P655" s="12">
        <f>IF(C655="","",C655-SUM(K655,M655,O655))</f>
        <v/>
      </c>
      <c r="Q655" s="13">
        <f>IF(A655="","",IF(P655&lt;=0,"eingelöst",IF(AND(I655&lt;&gt;"",TODAY()&gt;I655),"abgelaufen",IF(P655&lt;C655,"teilweise","offen"))))</f>
        <v/>
      </c>
    </row>
    <row r="656">
      <c r="A656" s="7" t="n"/>
      <c r="B656" s="8" t="n"/>
      <c r="C656" s="9" t="n"/>
      <c r="D656" s="10" t="n"/>
      <c r="E656" s="10" t="n"/>
      <c r="F656" s="10" t="n"/>
      <c r="G656" s="10" t="n"/>
      <c r="H656" s="10" t="n"/>
      <c r="I656" s="11">
        <f>IF(B656="","",DATE(YEAR(B656)+3,12,31))</f>
        <v/>
      </c>
      <c r="J656" s="8" t="n"/>
      <c r="K656" s="9" t="n"/>
      <c r="L656" s="8" t="n"/>
      <c r="M656" s="9" t="n"/>
      <c r="N656" s="8" t="n"/>
      <c r="O656" s="9" t="n"/>
      <c r="P656" s="12">
        <f>IF(C656="","",C656-SUM(K656,M656,O656))</f>
        <v/>
      </c>
      <c r="Q656" s="13">
        <f>IF(A656="","",IF(P656&lt;=0,"eingelöst",IF(AND(I656&lt;&gt;"",TODAY()&gt;I656),"abgelaufen",IF(P656&lt;C656,"teilweise","offen"))))</f>
        <v/>
      </c>
    </row>
    <row r="657">
      <c r="A657" s="7" t="n"/>
      <c r="B657" s="8" t="n"/>
      <c r="C657" s="9" t="n"/>
      <c r="D657" s="10" t="n"/>
      <c r="E657" s="10" t="n"/>
      <c r="F657" s="10" t="n"/>
      <c r="G657" s="10" t="n"/>
      <c r="H657" s="10" t="n"/>
      <c r="I657" s="11">
        <f>IF(B657="","",DATE(YEAR(B657)+3,12,31))</f>
        <v/>
      </c>
      <c r="J657" s="8" t="n"/>
      <c r="K657" s="9" t="n"/>
      <c r="L657" s="8" t="n"/>
      <c r="M657" s="9" t="n"/>
      <c r="N657" s="8" t="n"/>
      <c r="O657" s="9" t="n"/>
      <c r="P657" s="12">
        <f>IF(C657="","",C657-SUM(K657,M657,O657))</f>
        <v/>
      </c>
      <c r="Q657" s="13">
        <f>IF(A657="","",IF(P657&lt;=0,"eingelöst",IF(AND(I657&lt;&gt;"",TODAY()&gt;I657),"abgelaufen",IF(P657&lt;C657,"teilweise","offen"))))</f>
        <v/>
      </c>
    </row>
    <row r="658">
      <c r="A658" s="7" t="n"/>
      <c r="B658" s="8" t="n"/>
      <c r="C658" s="9" t="n"/>
      <c r="D658" s="10" t="n"/>
      <c r="E658" s="10" t="n"/>
      <c r="F658" s="10" t="n"/>
      <c r="G658" s="10" t="n"/>
      <c r="H658" s="10" t="n"/>
      <c r="I658" s="11">
        <f>IF(B658="","",DATE(YEAR(B658)+3,12,31))</f>
        <v/>
      </c>
      <c r="J658" s="8" t="n"/>
      <c r="K658" s="9" t="n"/>
      <c r="L658" s="8" t="n"/>
      <c r="M658" s="9" t="n"/>
      <c r="N658" s="8" t="n"/>
      <c r="O658" s="9" t="n"/>
      <c r="P658" s="12">
        <f>IF(C658="","",C658-SUM(K658,M658,O658))</f>
        <v/>
      </c>
      <c r="Q658" s="13">
        <f>IF(A658="","",IF(P658&lt;=0,"eingelöst",IF(AND(I658&lt;&gt;"",TODAY()&gt;I658),"abgelaufen",IF(P658&lt;C658,"teilweise","offen"))))</f>
        <v/>
      </c>
    </row>
    <row r="659">
      <c r="A659" s="7" t="n"/>
      <c r="B659" s="8" t="n"/>
      <c r="C659" s="9" t="n"/>
      <c r="D659" s="10" t="n"/>
      <c r="E659" s="10" t="n"/>
      <c r="F659" s="10" t="n"/>
      <c r="G659" s="10" t="n"/>
      <c r="H659" s="10" t="n"/>
      <c r="I659" s="11">
        <f>IF(B659="","",DATE(YEAR(B659)+3,12,31))</f>
        <v/>
      </c>
      <c r="J659" s="8" t="n"/>
      <c r="K659" s="9" t="n"/>
      <c r="L659" s="8" t="n"/>
      <c r="M659" s="9" t="n"/>
      <c r="N659" s="8" t="n"/>
      <c r="O659" s="9" t="n"/>
      <c r="P659" s="12">
        <f>IF(C659="","",C659-SUM(K659,M659,O659))</f>
        <v/>
      </c>
      <c r="Q659" s="13">
        <f>IF(A659="","",IF(P659&lt;=0,"eingelöst",IF(AND(I659&lt;&gt;"",TODAY()&gt;I659),"abgelaufen",IF(P659&lt;C659,"teilweise","offen"))))</f>
        <v/>
      </c>
    </row>
    <row r="660">
      <c r="A660" s="7" t="n"/>
      <c r="B660" s="8" t="n"/>
      <c r="C660" s="9" t="n"/>
      <c r="D660" s="10" t="n"/>
      <c r="E660" s="10" t="n"/>
      <c r="F660" s="10" t="n"/>
      <c r="G660" s="10" t="n"/>
      <c r="H660" s="10" t="n"/>
      <c r="I660" s="11">
        <f>IF(B660="","",DATE(YEAR(B660)+3,12,31))</f>
        <v/>
      </c>
      <c r="J660" s="8" t="n"/>
      <c r="K660" s="9" t="n"/>
      <c r="L660" s="8" t="n"/>
      <c r="M660" s="9" t="n"/>
      <c r="N660" s="8" t="n"/>
      <c r="O660" s="9" t="n"/>
      <c r="P660" s="12">
        <f>IF(C660="","",C660-SUM(K660,M660,O660))</f>
        <v/>
      </c>
      <c r="Q660" s="13">
        <f>IF(A660="","",IF(P660&lt;=0,"eingelöst",IF(AND(I660&lt;&gt;"",TODAY()&gt;I660),"abgelaufen",IF(P660&lt;C660,"teilweise","offen"))))</f>
        <v/>
      </c>
    </row>
    <row r="661">
      <c r="A661" s="7" t="n"/>
      <c r="B661" s="8" t="n"/>
      <c r="C661" s="9" t="n"/>
      <c r="D661" s="10" t="n"/>
      <c r="E661" s="10" t="n"/>
      <c r="F661" s="10" t="n"/>
      <c r="G661" s="10" t="n"/>
      <c r="H661" s="10" t="n"/>
      <c r="I661" s="11">
        <f>IF(B661="","",DATE(YEAR(B661)+3,12,31))</f>
        <v/>
      </c>
      <c r="J661" s="8" t="n"/>
      <c r="K661" s="9" t="n"/>
      <c r="L661" s="8" t="n"/>
      <c r="M661" s="9" t="n"/>
      <c r="N661" s="8" t="n"/>
      <c r="O661" s="9" t="n"/>
      <c r="P661" s="12">
        <f>IF(C661="","",C661-SUM(K661,M661,O661))</f>
        <v/>
      </c>
      <c r="Q661" s="13">
        <f>IF(A661="","",IF(P661&lt;=0,"eingelöst",IF(AND(I661&lt;&gt;"",TODAY()&gt;I661),"abgelaufen",IF(P661&lt;C661,"teilweise","offen"))))</f>
        <v/>
      </c>
    </row>
    <row r="662">
      <c r="A662" s="7" t="n"/>
      <c r="B662" s="8" t="n"/>
      <c r="C662" s="9" t="n"/>
      <c r="D662" s="10" t="n"/>
      <c r="E662" s="10" t="n"/>
      <c r="F662" s="10" t="n"/>
      <c r="G662" s="10" t="n"/>
      <c r="H662" s="10" t="n"/>
      <c r="I662" s="11">
        <f>IF(B662="","",DATE(YEAR(B662)+3,12,31))</f>
        <v/>
      </c>
      <c r="J662" s="8" t="n"/>
      <c r="K662" s="9" t="n"/>
      <c r="L662" s="8" t="n"/>
      <c r="M662" s="9" t="n"/>
      <c r="N662" s="8" t="n"/>
      <c r="O662" s="9" t="n"/>
      <c r="P662" s="12">
        <f>IF(C662="","",C662-SUM(K662,M662,O662))</f>
        <v/>
      </c>
      <c r="Q662" s="13">
        <f>IF(A662="","",IF(P662&lt;=0,"eingelöst",IF(AND(I662&lt;&gt;"",TODAY()&gt;I662),"abgelaufen",IF(P662&lt;C662,"teilweise","offen"))))</f>
        <v/>
      </c>
    </row>
    <row r="663">
      <c r="A663" s="7" t="n"/>
      <c r="B663" s="8" t="n"/>
      <c r="C663" s="9" t="n"/>
      <c r="D663" s="10" t="n"/>
      <c r="E663" s="10" t="n"/>
      <c r="F663" s="10" t="n"/>
      <c r="G663" s="10" t="n"/>
      <c r="H663" s="10" t="n"/>
      <c r="I663" s="11">
        <f>IF(B663="","",DATE(YEAR(B663)+3,12,31))</f>
        <v/>
      </c>
      <c r="J663" s="8" t="n"/>
      <c r="K663" s="9" t="n"/>
      <c r="L663" s="8" t="n"/>
      <c r="M663" s="9" t="n"/>
      <c r="N663" s="8" t="n"/>
      <c r="O663" s="9" t="n"/>
      <c r="P663" s="12">
        <f>IF(C663="","",C663-SUM(K663,M663,O663))</f>
        <v/>
      </c>
      <c r="Q663" s="13">
        <f>IF(A663="","",IF(P663&lt;=0,"eingelöst",IF(AND(I663&lt;&gt;"",TODAY()&gt;I663),"abgelaufen",IF(P663&lt;C663,"teilweise","offen"))))</f>
        <v/>
      </c>
    </row>
    <row r="664">
      <c r="A664" s="7" t="n"/>
      <c r="B664" s="8" t="n"/>
      <c r="C664" s="9" t="n"/>
      <c r="D664" s="10" t="n"/>
      <c r="E664" s="10" t="n"/>
      <c r="F664" s="10" t="n"/>
      <c r="G664" s="10" t="n"/>
      <c r="H664" s="10" t="n"/>
      <c r="I664" s="11">
        <f>IF(B664="","",DATE(YEAR(B664)+3,12,31))</f>
        <v/>
      </c>
      <c r="J664" s="8" t="n"/>
      <c r="K664" s="9" t="n"/>
      <c r="L664" s="8" t="n"/>
      <c r="M664" s="9" t="n"/>
      <c r="N664" s="8" t="n"/>
      <c r="O664" s="9" t="n"/>
      <c r="P664" s="12">
        <f>IF(C664="","",C664-SUM(K664,M664,O664))</f>
        <v/>
      </c>
      <c r="Q664" s="13">
        <f>IF(A664="","",IF(P664&lt;=0,"eingelöst",IF(AND(I664&lt;&gt;"",TODAY()&gt;I664),"abgelaufen",IF(P664&lt;C664,"teilweise","offen"))))</f>
        <v/>
      </c>
    </row>
    <row r="665">
      <c r="A665" s="7" t="n"/>
      <c r="B665" s="8" t="n"/>
      <c r="C665" s="9" t="n"/>
      <c r="D665" s="10" t="n"/>
      <c r="E665" s="10" t="n"/>
      <c r="F665" s="10" t="n"/>
      <c r="G665" s="10" t="n"/>
      <c r="H665" s="10" t="n"/>
      <c r="I665" s="11">
        <f>IF(B665="","",DATE(YEAR(B665)+3,12,31))</f>
        <v/>
      </c>
      <c r="J665" s="8" t="n"/>
      <c r="K665" s="9" t="n"/>
      <c r="L665" s="8" t="n"/>
      <c r="M665" s="9" t="n"/>
      <c r="N665" s="8" t="n"/>
      <c r="O665" s="9" t="n"/>
      <c r="P665" s="12">
        <f>IF(C665="","",C665-SUM(K665,M665,O665))</f>
        <v/>
      </c>
      <c r="Q665" s="13">
        <f>IF(A665="","",IF(P665&lt;=0,"eingelöst",IF(AND(I665&lt;&gt;"",TODAY()&gt;I665),"abgelaufen",IF(P665&lt;C665,"teilweise","offen"))))</f>
        <v/>
      </c>
    </row>
    <row r="666">
      <c r="A666" s="7" t="n"/>
      <c r="B666" s="8" t="n"/>
      <c r="C666" s="9" t="n"/>
      <c r="D666" s="10" t="n"/>
      <c r="E666" s="10" t="n"/>
      <c r="F666" s="10" t="n"/>
      <c r="G666" s="10" t="n"/>
      <c r="H666" s="10" t="n"/>
      <c r="I666" s="11">
        <f>IF(B666="","",DATE(YEAR(B666)+3,12,31))</f>
        <v/>
      </c>
      <c r="J666" s="8" t="n"/>
      <c r="K666" s="9" t="n"/>
      <c r="L666" s="8" t="n"/>
      <c r="M666" s="9" t="n"/>
      <c r="N666" s="8" t="n"/>
      <c r="O666" s="9" t="n"/>
      <c r="P666" s="12">
        <f>IF(C666="","",C666-SUM(K666,M666,O666))</f>
        <v/>
      </c>
      <c r="Q666" s="13">
        <f>IF(A666="","",IF(P666&lt;=0,"eingelöst",IF(AND(I666&lt;&gt;"",TODAY()&gt;I666),"abgelaufen",IF(P666&lt;C666,"teilweise","offen"))))</f>
        <v/>
      </c>
    </row>
    <row r="667">
      <c r="A667" s="7" t="n"/>
      <c r="B667" s="8" t="n"/>
      <c r="C667" s="9" t="n"/>
      <c r="D667" s="10" t="n"/>
      <c r="E667" s="10" t="n"/>
      <c r="F667" s="10" t="n"/>
      <c r="G667" s="10" t="n"/>
      <c r="H667" s="10" t="n"/>
      <c r="I667" s="11">
        <f>IF(B667="","",DATE(YEAR(B667)+3,12,31))</f>
        <v/>
      </c>
      <c r="J667" s="8" t="n"/>
      <c r="K667" s="9" t="n"/>
      <c r="L667" s="8" t="n"/>
      <c r="M667" s="9" t="n"/>
      <c r="N667" s="8" t="n"/>
      <c r="O667" s="9" t="n"/>
      <c r="P667" s="12">
        <f>IF(C667="","",C667-SUM(K667,M667,O667))</f>
        <v/>
      </c>
      <c r="Q667" s="13">
        <f>IF(A667="","",IF(P667&lt;=0,"eingelöst",IF(AND(I667&lt;&gt;"",TODAY()&gt;I667),"abgelaufen",IF(P667&lt;C667,"teilweise","offen"))))</f>
        <v/>
      </c>
    </row>
    <row r="668">
      <c r="A668" s="7" t="n"/>
      <c r="B668" s="8" t="n"/>
      <c r="C668" s="9" t="n"/>
      <c r="D668" s="10" t="n"/>
      <c r="E668" s="10" t="n"/>
      <c r="F668" s="10" t="n"/>
      <c r="G668" s="10" t="n"/>
      <c r="H668" s="10" t="n"/>
      <c r="I668" s="11">
        <f>IF(B668="","",DATE(YEAR(B668)+3,12,31))</f>
        <v/>
      </c>
      <c r="J668" s="8" t="n"/>
      <c r="K668" s="9" t="n"/>
      <c r="L668" s="8" t="n"/>
      <c r="M668" s="9" t="n"/>
      <c r="N668" s="8" t="n"/>
      <c r="O668" s="9" t="n"/>
      <c r="P668" s="12">
        <f>IF(C668="","",C668-SUM(K668,M668,O668))</f>
        <v/>
      </c>
      <c r="Q668" s="13">
        <f>IF(A668="","",IF(P668&lt;=0,"eingelöst",IF(AND(I668&lt;&gt;"",TODAY()&gt;I668),"abgelaufen",IF(P668&lt;C668,"teilweise","offen"))))</f>
        <v/>
      </c>
    </row>
    <row r="669">
      <c r="A669" s="7" t="n"/>
      <c r="B669" s="8" t="n"/>
      <c r="C669" s="9" t="n"/>
      <c r="D669" s="10" t="n"/>
      <c r="E669" s="10" t="n"/>
      <c r="F669" s="10" t="n"/>
      <c r="G669" s="10" t="n"/>
      <c r="H669" s="10" t="n"/>
      <c r="I669" s="11">
        <f>IF(B669="","",DATE(YEAR(B669)+3,12,31))</f>
        <v/>
      </c>
      <c r="J669" s="8" t="n"/>
      <c r="K669" s="9" t="n"/>
      <c r="L669" s="8" t="n"/>
      <c r="M669" s="9" t="n"/>
      <c r="N669" s="8" t="n"/>
      <c r="O669" s="9" t="n"/>
      <c r="P669" s="12">
        <f>IF(C669="","",C669-SUM(K669,M669,O669))</f>
        <v/>
      </c>
      <c r="Q669" s="13">
        <f>IF(A669="","",IF(P669&lt;=0,"eingelöst",IF(AND(I669&lt;&gt;"",TODAY()&gt;I669),"abgelaufen",IF(P669&lt;C669,"teilweise","offen"))))</f>
        <v/>
      </c>
    </row>
    <row r="670">
      <c r="A670" s="7" t="n"/>
      <c r="B670" s="8" t="n"/>
      <c r="C670" s="9" t="n"/>
      <c r="D670" s="10" t="n"/>
      <c r="E670" s="10" t="n"/>
      <c r="F670" s="10" t="n"/>
      <c r="G670" s="10" t="n"/>
      <c r="H670" s="10" t="n"/>
      <c r="I670" s="11">
        <f>IF(B670="","",DATE(YEAR(B670)+3,12,31))</f>
        <v/>
      </c>
      <c r="J670" s="8" t="n"/>
      <c r="K670" s="9" t="n"/>
      <c r="L670" s="8" t="n"/>
      <c r="M670" s="9" t="n"/>
      <c r="N670" s="8" t="n"/>
      <c r="O670" s="9" t="n"/>
      <c r="P670" s="12">
        <f>IF(C670="","",C670-SUM(K670,M670,O670))</f>
        <v/>
      </c>
      <c r="Q670" s="13">
        <f>IF(A670="","",IF(P670&lt;=0,"eingelöst",IF(AND(I670&lt;&gt;"",TODAY()&gt;I670),"abgelaufen",IF(P670&lt;C670,"teilweise","offen"))))</f>
        <v/>
      </c>
    </row>
    <row r="671">
      <c r="A671" s="7" t="n"/>
      <c r="B671" s="8" t="n"/>
      <c r="C671" s="9" t="n"/>
      <c r="D671" s="10" t="n"/>
      <c r="E671" s="10" t="n"/>
      <c r="F671" s="10" t="n"/>
      <c r="G671" s="10" t="n"/>
      <c r="H671" s="10" t="n"/>
      <c r="I671" s="11">
        <f>IF(B671="","",DATE(YEAR(B671)+3,12,31))</f>
        <v/>
      </c>
      <c r="J671" s="8" t="n"/>
      <c r="K671" s="9" t="n"/>
      <c r="L671" s="8" t="n"/>
      <c r="M671" s="9" t="n"/>
      <c r="N671" s="8" t="n"/>
      <c r="O671" s="9" t="n"/>
      <c r="P671" s="12">
        <f>IF(C671="","",C671-SUM(K671,M671,O671))</f>
        <v/>
      </c>
      <c r="Q671" s="13">
        <f>IF(A671="","",IF(P671&lt;=0,"eingelöst",IF(AND(I671&lt;&gt;"",TODAY()&gt;I671),"abgelaufen",IF(P671&lt;C671,"teilweise","offen"))))</f>
        <v/>
      </c>
    </row>
    <row r="672">
      <c r="A672" s="7" t="n"/>
      <c r="B672" s="8" t="n"/>
      <c r="C672" s="9" t="n"/>
      <c r="D672" s="10" t="n"/>
      <c r="E672" s="10" t="n"/>
      <c r="F672" s="10" t="n"/>
      <c r="G672" s="10" t="n"/>
      <c r="H672" s="10" t="n"/>
      <c r="I672" s="11">
        <f>IF(B672="","",DATE(YEAR(B672)+3,12,31))</f>
        <v/>
      </c>
      <c r="J672" s="8" t="n"/>
      <c r="K672" s="9" t="n"/>
      <c r="L672" s="8" t="n"/>
      <c r="M672" s="9" t="n"/>
      <c r="N672" s="8" t="n"/>
      <c r="O672" s="9" t="n"/>
      <c r="P672" s="12">
        <f>IF(C672="","",C672-SUM(K672,M672,O672))</f>
        <v/>
      </c>
      <c r="Q672" s="13">
        <f>IF(A672="","",IF(P672&lt;=0,"eingelöst",IF(AND(I672&lt;&gt;"",TODAY()&gt;I672),"abgelaufen",IF(P672&lt;C672,"teilweise","offen"))))</f>
        <v/>
      </c>
    </row>
    <row r="673">
      <c r="A673" s="7" t="n"/>
      <c r="B673" s="8" t="n"/>
      <c r="C673" s="9" t="n"/>
      <c r="D673" s="10" t="n"/>
      <c r="E673" s="10" t="n"/>
      <c r="F673" s="10" t="n"/>
      <c r="G673" s="10" t="n"/>
      <c r="H673" s="10" t="n"/>
      <c r="I673" s="11">
        <f>IF(B673="","",DATE(YEAR(B673)+3,12,31))</f>
        <v/>
      </c>
      <c r="J673" s="8" t="n"/>
      <c r="K673" s="9" t="n"/>
      <c r="L673" s="8" t="n"/>
      <c r="M673" s="9" t="n"/>
      <c r="N673" s="8" t="n"/>
      <c r="O673" s="9" t="n"/>
      <c r="P673" s="12">
        <f>IF(C673="","",C673-SUM(K673,M673,O673))</f>
        <v/>
      </c>
      <c r="Q673" s="13">
        <f>IF(A673="","",IF(P673&lt;=0,"eingelöst",IF(AND(I673&lt;&gt;"",TODAY()&gt;I673),"abgelaufen",IF(P673&lt;C673,"teilweise","offen"))))</f>
        <v/>
      </c>
    </row>
    <row r="674">
      <c r="A674" s="7" t="n"/>
      <c r="B674" s="8" t="n"/>
      <c r="C674" s="9" t="n"/>
      <c r="D674" s="10" t="n"/>
      <c r="E674" s="10" t="n"/>
      <c r="F674" s="10" t="n"/>
      <c r="G674" s="10" t="n"/>
      <c r="H674" s="10" t="n"/>
      <c r="I674" s="11">
        <f>IF(B674="","",DATE(YEAR(B674)+3,12,31))</f>
        <v/>
      </c>
      <c r="J674" s="8" t="n"/>
      <c r="K674" s="9" t="n"/>
      <c r="L674" s="8" t="n"/>
      <c r="M674" s="9" t="n"/>
      <c r="N674" s="8" t="n"/>
      <c r="O674" s="9" t="n"/>
      <c r="P674" s="12">
        <f>IF(C674="","",C674-SUM(K674,M674,O674))</f>
        <v/>
      </c>
      <c r="Q674" s="13">
        <f>IF(A674="","",IF(P674&lt;=0,"eingelöst",IF(AND(I674&lt;&gt;"",TODAY()&gt;I674),"abgelaufen",IF(P674&lt;C674,"teilweise","offen"))))</f>
        <v/>
      </c>
    </row>
    <row r="675">
      <c r="A675" s="7" t="n"/>
      <c r="B675" s="8" t="n"/>
      <c r="C675" s="9" t="n"/>
      <c r="D675" s="10" t="n"/>
      <c r="E675" s="10" t="n"/>
      <c r="F675" s="10" t="n"/>
      <c r="G675" s="10" t="n"/>
      <c r="H675" s="10" t="n"/>
      <c r="I675" s="11">
        <f>IF(B675="","",DATE(YEAR(B675)+3,12,31))</f>
        <v/>
      </c>
      <c r="J675" s="8" t="n"/>
      <c r="K675" s="9" t="n"/>
      <c r="L675" s="8" t="n"/>
      <c r="M675" s="9" t="n"/>
      <c r="N675" s="8" t="n"/>
      <c r="O675" s="9" t="n"/>
      <c r="P675" s="12">
        <f>IF(C675="","",C675-SUM(K675,M675,O675))</f>
        <v/>
      </c>
      <c r="Q675" s="13">
        <f>IF(A675="","",IF(P675&lt;=0,"eingelöst",IF(AND(I675&lt;&gt;"",TODAY()&gt;I675),"abgelaufen",IF(P675&lt;C675,"teilweise","offen"))))</f>
        <v/>
      </c>
    </row>
    <row r="676">
      <c r="A676" s="7" t="n"/>
      <c r="B676" s="8" t="n"/>
      <c r="C676" s="9" t="n"/>
      <c r="D676" s="10" t="n"/>
      <c r="E676" s="10" t="n"/>
      <c r="F676" s="10" t="n"/>
      <c r="G676" s="10" t="n"/>
      <c r="H676" s="10" t="n"/>
      <c r="I676" s="11">
        <f>IF(B676="","",DATE(YEAR(B676)+3,12,31))</f>
        <v/>
      </c>
      <c r="J676" s="8" t="n"/>
      <c r="K676" s="9" t="n"/>
      <c r="L676" s="8" t="n"/>
      <c r="M676" s="9" t="n"/>
      <c r="N676" s="8" t="n"/>
      <c r="O676" s="9" t="n"/>
      <c r="P676" s="12">
        <f>IF(C676="","",C676-SUM(K676,M676,O676))</f>
        <v/>
      </c>
      <c r="Q676" s="13">
        <f>IF(A676="","",IF(P676&lt;=0,"eingelöst",IF(AND(I676&lt;&gt;"",TODAY()&gt;I676),"abgelaufen",IF(P676&lt;C676,"teilweise","offen"))))</f>
        <v/>
      </c>
    </row>
    <row r="677">
      <c r="A677" s="7" t="n"/>
      <c r="B677" s="8" t="n"/>
      <c r="C677" s="9" t="n"/>
      <c r="D677" s="10" t="n"/>
      <c r="E677" s="10" t="n"/>
      <c r="F677" s="10" t="n"/>
      <c r="G677" s="10" t="n"/>
      <c r="H677" s="10" t="n"/>
      <c r="I677" s="11">
        <f>IF(B677="","",DATE(YEAR(B677)+3,12,31))</f>
        <v/>
      </c>
      <c r="J677" s="8" t="n"/>
      <c r="K677" s="9" t="n"/>
      <c r="L677" s="8" t="n"/>
      <c r="M677" s="9" t="n"/>
      <c r="N677" s="8" t="n"/>
      <c r="O677" s="9" t="n"/>
      <c r="P677" s="12">
        <f>IF(C677="","",C677-SUM(K677,M677,O677))</f>
        <v/>
      </c>
      <c r="Q677" s="13">
        <f>IF(A677="","",IF(P677&lt;=0,"eingelöst",IF(AND(I677&lt;&gt;"",TODAY()&gt;I677),"abgelaufen",IF(P677&lt;C677,"teilweise","offen"))))</f>
        <v/>
      </c>
    </row>
    <row r="678">
      <c r="A678" s="7" t="n"/>
      <c r="B678" s="8" t="n"/>
      <c r="C678" s="9" t="n"/>
      <c r="D678" s="10" t="n"/>
      <c r="E678" s="10" t="n"/>
      <c r="F678" s="10" t="n"/>
      <c r="G678" s="10" t="n"/>
      <c r="H678" s="10" t="n"/>
      <c r="I678" s="11">
        <f>IF(B678="","",DATE(YEAR(B678)+3,12,31))</f>
        <v/>
      </c>
      <c r="J678" s="8" t="n"/>
      <c r="K678" s="9" t="n"/>
      <c r="L678" s="8" t="n"/>
      <c r="M678" s="9" t="n"/>
      <c r="N678" s="8" t="n"/>
      <c r="O678" s="9" t="n"/>
      <c r="P678" s="12">
        <f>IF(C678="","",C678-SUM(K678,M678,O678))</f>
        <v/>
      </c>
      <c r="Q678" s="13">
        <f>IF(A678="","",IF(P678&lt;=0,"eingelöst",IF(AND(I678&lt;&gt;"",TODAY()&gt;I678),"abgelaufen",IF(P678&lt;C678,"teilweise","offen"))))</f>
        <v/>
      </c>
    </row>
    <row r="679">
      <c r="A679" s="7" t="n"/>
      <c r="B679" s="8" t="n"/>
      <c r="C679" s="9" t="n"/>
      <c r="D679" s="10" t="n"/>
      <c r="E679" s="10" t="n"/>
      <c r="F679" s="10" t="n"/>
      <c r="G679" s="10" t="n"/>
      <c r="H679" s="10" t="n"/>
      <c r="I679" s="11">
        <f>IF(B679="","",DATE(YEAR(B679)+3,12,31))</f>
        <v/>
      </c>
      <c r="J679" s="8" t="n"/>
      <c r="K679" s="9" t="n"/>
      <c r="L679" s="8" t="n"/>
      <c r="M679" s="9" t="n"/>
      <c r="N679" s="8" t="n"/>
      <c r="O679" s="9" t="n"/>
      <c r="P679" s="12">
        <f>IF(C679="","",C679-SUM(K679,M679,O679))</f>
        <v/>
      </c>
      <c r="Q679" s="13">
        <f>IF(A679="","",IF(P679&lt;=0,"eingelöst",IF(AND(I679&lt;&gt;"",TODAY()&gt;I679),"abgelaufen",IF(P679&lt;C679,"teilweise","offen"))))</f>
        <v/>
      </c>
    </row>
    <row r="680">
      <c r="A680" s="7" t="n"/>
      <c r="B680" s="8" t="n"/>
      <c r="C680" s="9" t="n"/>
      <c r="D680" s="10" t="n"/>
      <c r="E680" s="10" t="n"/>
      <c r="F680" s="10" t="n"/>
      <c r="G680" s="10" t="n"/>
      <c r="H680" s="10" t="n"/>
      <c r="I680" s="11">
        <f>IF(B680="","",DATE(YEAR(B680)+3,12,31))</f>
        <v/>
      </c>
      <c r="J680" s="8" t="n"/>
      <c r="K680" s="9" t="n"/>
      <c r="L680" s="8" t="n"/>
      <c r="M680" s="9" t="n"/>
      <c r="N680" s="8" t="n"/>
      <c r="O680" s="9" t="n"/>
      <c r="P680" s="12">
        <f>IF(C680="","",C680-SUM(K680,M680,O680))</f>
        <v/>
      </c>
      <c r="Q680" s="13">
        <f>IF(A680="","",IF(P680&lt;=0,"eingelöst",IF(AND(I680&lt;&gt;"",TODAY()&gt;I680),"abgelaufen",IF(P680&lt;C680,"teilweise","offen"))))</f>
        <v/>
      </c>
    </row>
    <row r="681">
      <c r="A681" s="7" t="n"/>
      <c r="B681" s="8" t="n"/>
      <c r="C681" s="9" t="n"/>
      <c r="D681" s="10" t="n"/>
      <c r="E681" s="10" t="n"/>
      <c r="F681" s="10" t="n"/>
      <c r="G681" s="10" t="n"/>
      <c r="H681" s="10" t="n"/>
      <c r="I681" s="11">
        <f>IF(B681="","",DATE(YEAR(B681)+3,12,31))</f>
        <v/>
      </c>
      <c r="J681" s="8" t="n"/>
      <c r="K681" s="9" t="n"/>
      <c r="L681" s="8" t="n"/>
      <c r="M681" s="9" t="n"/>
      <c r="N681" s="8" t="n"/>
      <c r="O681" s="9" t="n"/>
      <c r="P681" s="12">
        <f>IF(C681="","",C681-SUM(K681,M681,O681))</f>
        <v/>
      </c>
      <c r="Q681" s="13">
        <f>IF(A681="","",IF(P681&lt;=0,"eingelöst",IF(AND(I681&lt;&gt;"",TODAY()&gt;I681),"abgelaufen",IF(P681&lt;C681,"teilweise","offen"))))</f>
        <v/>
      </c>
    </row>
    <row r="682">
      <c r="A682" s="7" t="n"/>
      <c r="B682" s="8" t="n"/>
      <c r="C682" s="9" t="n"/>
      <c r="D682" s="10" t="n"/>
      <c r="E682" s="10" t="n"/>
      <c r="F682" s="10" t="n"/>
      <c r="G682" s="10" t="n"/>
      <c r="H682" s="10" t="n"/>
      <c r="I682" s="11">
        <f>IF(B682="","",DATE(YEAR(B682)+3,12,31))</f>
        <v/>
      </c>
      <c r="J682" s="8" t="n"/>
      <c r="K682" s="9" t="n"/>
      <c r="L682" s="8" t="n"/>
      <c r="M682" s="9" t="n"/>
      <c r="N682" s="8" t="n"/>
      <c r="O682" s="9" t="n"/>
      <c r="P682" s="12">
        <f>IF(C682="","",C682-SUM(K682,M682,O682))</f>
        <v/>
      </c>
      <c r="Q682" s="13">
        <f>IF(A682="","",IF(P682&lt;=0,"eingelöst",IF(AND(I682&lt;&gt;"",TODAY()&gt;I682),"abgelaufen",IF(P682&lt;C682,"teilweise","offen"))))</f>
        <v/>
      </c>
    </row>
    <row r="683">
      <c r="A683" s="7" t="n"/>
      <c r="B683" s="8" t="n"/>
      <c r="C683" s="9" t="n"/>
      <c r="D683" s="10" t="n"/>
      <c r="E683" s="10" t="n"/>
      <c r="F683" s="10" t="n"/>
      <c r="G683" s="10" t="n"/>
      <c r="H683" s="10" t="n"/>
      <c r="I683" s="11">
        <f>IF(B683="","",DATE(YEAR(B683)+3,12,31))</f>
        <v/>
      </c>
      <c r="J683" s="8" t="n"/>
      <c r="K683" s="9" t="n"/>
      <c r="L683" s="8" t="n"/>
      <c r="M683" s="9" t="n"/>
      <c r="N683" s="8" t="n"/>
      <c r="O683" s="9" t="n"/>
      <c r="P683" s="12">
        <f>IF(C683="","",C683-SUM(K683,M683,O683))</f>
        <v/>
      </c>
      <c r="Q683" s="13">
        <f>IF(A683="","",IF(P683&lt;=0,"eingelöst",IF(AND(I683&lt;&gt;"",TODAY()&gt;I683),"abgelaufen",IF(P683&lt;C683,"teilweise","offen"))))</f>
        <v/>
      </c>
    </row>
    <row r="684">
      <c r="A684" s="7" t="n"/>
      <c r="B684" s="8" t="n"/>
      <c r="C684" s="9" t="n"/>
      <c r="D684" s="10" t="n"/>
      <c r="E684" s="10" t="n"/>
      <c r="F684" s="10" t="n"/>
      <c r="G684" s="10" t="n"/>
      <c r="H684" s="10" t="n"/>
      <c r="I684" s="11">
        <f>IF(B684="","",DATE(YEAR(B684)+3,12,31))</f>
        <v/>
      </c>
      <c r="J684" s="8" t="n"/>
      <c r="K684" s="9" t="n"/>
      <c r="L684" s="8" t="n"/>
      <c r="M684" s="9" t="n"/>
      <c r="N684" s="8" t="n"/>
      <c r="O684" s="9" t="n"/>
      <c r="P684" s="12">
        <f>IF(C684="","",C684-SUM(K684,M684,O684))</f>
        <v/>
      </c>
      <c r="Q684" s="13">
        <f>IF(A684="","",IF(P684&lt;=0,"eingelöst",IF(AND(I684&lt;&gt;"",TODAY()&gt;I684),"abgelaufen",IF(P684&lt;C684,"teilweise","offen"))))</f>
        <v/>
      </c>
    </row>
    <row r="685">
      <c r="A685" s="7" t="n"/>
      <c r="B685" s="8" t="n"/>
      <c r="C685" s="9" t="n"/>
      <c r="D685" s="10" t="n"/>
      <c r="E685" s="10" t="n"/>
      <c r="F685" s="10" t="n"/>
      <c r="G685" s="10" t="n"/>
      <c r="H685" s="10" t="n"/>
      <c r="I685" s="11">
        <f>IF(B685="","",DATE(YEAR(B685)+3,12,31))</f>
        <v/>
      </c>
      <c r="J685" s="8" t="n"/>
      <c r="K685" s="9" t="n"/>
      <c r="L685" s="8" t="n"/>
      <c r="M685" s="9" t="n"/>
      <c r="N685" s="8" t="n"/>
      <c r="O685" s="9" t="n"/>
      <c r="P685" s="12">
        <f>IF(C685="","",C685-SUM(K685,M685,O685))</f>
        <v/>
      </c>
      <c r="Q685" s="13">
        <f>IF(A685="","",IF(P685&lt;=0,"eingelöst",IF(AND(I685&lt;&gt;"",TODAY()&gt;I685),"abgelaufen",IF(P685&lt;C685,"teilweise","offen"))))</f>
        <v/>
      </c>
    </row>
    <row r="686">
      <c r="A686" s="7" t="n"/>
      <c r="B686" s="8" t="n"/>
      <c r="C686" s="9" t="n"/>
      <c r="D686" s="10" t="n"/>
      <c r="E686" s="10" t="n"/>
      <c r="F686" s="10" t="n"/>
      <c r="G686" s="10" t="n"/>
      <c r="H686" s="10" t="n"/>
      <c r="I686" s="11">
        <f>IF(B686="","",DATE(YEAR(B686)+3,12,31))</f>
        <v/>
      </c>
      <c r="J686" s="8" t="n"/>
      <c r="K686" s="9" t="n"/>
      <c r="L686" s="8" t="n"/>
      <c r="M686" s="9" t="n"/>
      <c r="N686" s="8" t="n"/>
      <c r="O686" s="9" t="n"/>
      <c r="P686" s="12">
        <f>IF(C686="","",C686-SUM(K686,M686,O686))</f>
        <v/>
      </c>
      <c r="Q686" s="13">
        <f>IF(A686="","",IF(P686&lt;=0,"eingelöst",IF(AND(I686&lt;&gt;"",TODAY()&gt;I686),"abgelaufen",IF(P686&lt;C686,"teilweise","offen"))))</f>
        <v/>
      </c>
    </row>
    <row r="687">
      <c r="A687" s="7" t="n"/>
      <c r="B687" s="8" t="n"/>
      <c r="C687" s="9" t="n"/>
      <c r="D687" s="10" t="n"/>
      <c r="E687" s="10" t="n"/>
      <c r="F687" s="10" t="n"/>
      <c r="G687" s="10" t="n"/>
      <c r="H687" s="10" t="n"/>
      <c r="I687" s="11">
        <f>IF(B687="","",DATE(YEAR(B687)+3,12,31))</f>
        <v/>
      </c>
      <c r="J687" s="8" t="n"/>
      <c r="K687" s="9" t="n"/>
      <c r="L687" s="8" t="n"/>
      <c r="M687" s="9" t="n"/>
      <c r="N687" s="8" t="n"/>
      <c r="O687" s="9" t="n"/>
      <c r="P687" s="12">
        <f>IF(C687="","",C687-SUM(K687,M687,O687))</f>
        <v/>
      </c>
      <c r="Q687" s="13">
        <f>IF(A687="","",IF(P687&lt;=0,"eingelöst",IF(AND(I687&lt;&gt;"",TODAY()&gt;I687),"abgelaufen",IF(P687&lt;C687,"teilweise","offen"))))</f>
        <v/>
      </c>
    </row>
    <row r="688">
      <c r="A688" s="7" t="n"/>
      <c r="B688" s="8" t="n"/>
      <c r="C688" s="9" t="n"/>
      <c r="D688" s="10" t="n"/>
      <c r="E688" s="10" t="n"/>
      <c r="F688" s="10" t="n"/>
      <c r="G688" s="10" t="n"/>
      <c r="H688" s="10" t="n"/>
      <c r="I688" s="11">
        <f>IF(B688="","",DATE(YEAR(B688)+3,12,31))</f>
        <v/>
      </c>
      <c r="J688" s="8" t="n"/>
      <c r="K688" s="9" t="n"/>
      <c r="L688" s="8" t="n"/>
      <c r="M688" s="9" t="n"/>
      <c r="N688" s="8" t="n"/>
      <c r="O688" s="9" t="n"/>
      <c r="P688" s="12">
        <f>IF(C688="","",C688-SUM(K688,M688,O688))</f>
        <v/>
      </c>
      <c r="Q688" s="13">
        <f>IF(A688="","",IF(P688&lt;=0,"eingelöst",IF(AND(I688&lt;&gt;"",TODAY()&gt;I688),"abgelaufen",IF(P688&lt;C688,"teilweise","offen"))))</f>
        <v/>
      </c>
    </row>
    <row r="689">
      <c r="A689" s="7" t="n"/>
      <c r="B689" s="8" t="n"/>
      <c r="C689" s="9" t="n"/>
      <c r="D689" s="10" t="n"/>
      <c r="E689" s="10" t="n"/>
      <c r="F689" s="10" t="n"/>
      <c r="G689" s="10" t="n"/>
      <c r="H689" s="10" t="n"/>
      <c r="I689" s="11">
        <f>IF(B689="","",DATE(YEAR(B689)+3,12,31))</f>
        <v/>
      </c>
      <c r="J689" s="8" t="n"/>
      <c r="K689" s="9" t="n"/>
      <c r="L689" s="8" t="n"/>
      <c r="M689" s="9" t="n"/>
      <c r="N689" s="8" t="n"/>
      <c r="O689" s="9" t="n"/>
      <c r="P689" s="12">
        <f>IF(C689="","",C689-SUM(K689,M689,O689))</f>
        <v/>
      </c>
      <c r="Q689" s="13">
        <f>IF(A689="","",IF(P689&lt;=0,"eingelöst",IF(AND(I689&lt;&gt;"",TODAY()&gt;I689),"abgelaufen",IF(P689&lt;C689,"teilweise","offen"))))</f>
        <v/>
      </c>
    </row>
    <row r="690">
      <c r="A690" s="7" t="n"/>
      <c r="B690" s="8" t="n"/>
      <c r="C690" s="9" t="n"/>
      <c r="D690" s="10" t="n"/>
      <c r="E690" s="10" t="n"/>
      <c r="F690" s="10" t="n"/>
      <c r="G690" s="10" t="n"/>
      <c r="H690" s="10" t="n"/>
      <c r="I690" s="11">
        <f>IF(B690="","",DATE(YEAR(B690)+3,12,31))</f>
        <v/>
      </c>
      <c r="J690" s="8" t="n"/>
      <c r="K690" s="9" t="n"/>
      <c r="L690" s="8" t="n"/>
      <c r="M690" s="9" t="n"/>
      <c r="N690" s="8" t="n"/>
      <c r="O690" s="9" t="n"/>
      <c r="P690" s="12">
        <f>IF(C690="","",C690-SUM(K690,M690,O690))</f>
        <v/>
      </c>
      <c r="Q690" s="13">
        <f>IF(A690="","",IF(P690&lt;=0,"eingelöst",IF(AND(I690&lt;&gt;"",TODAY()&gt;I690),"abgelaufen",IF(P690&lt;C690,"teilweise","offen"))))</f>
        <v/>
      </c>
    </row>
    <row r="691">
      <c r="A691" s="7" t="n"/>
      <c r="B691" s="8" t="n"/>
      <c r="C691" s="9" t="n"/>
      <c r="D691" s="10" t="n"/>
      <c r="E691" s="10" t="n"/>
      <c r="F691" s="10" t="n"/>
      <c r="G691" s="10" t="n"/>
      <c r="H691" s="10" t="n"/>
      <c r="I691" s="11">
        <f>IF(B691="","",DATE(YEAR(B691)+3,12,31))</f>
        <v/>
      </c>
      <c r="J691" s="8" t="n"/>
      <c r="K691" s="9" t="n"/>
      <c r="L691" s="8" t="n"/>
      <c r="M691" s="9" t="n"/>
      <c r="N691" s="8" t="n"/>
      <c r="O691" s="9" t="n"/>
      <c r="P691" s="12">
        <f>IF(C691="","",C691-SUM(K691,M691,O691))</f>
        <v/>
      </c>
      <c r="Q691" s="13">
        <f>IF(A691="","",IF(P691&lt;=0,"eingelöst",IF(AND(I691&lt;&gt;"",TODAY()&gt;I691),"abgelaufen",IF(P691&lt;C691,"teilweise","offen"))))</f>
        <v/>
      </c>
    </row>
    <row r="692">
      <c r="A692" s="7" t="n"/>
      <c r="B692" s="8" t="n"/>
      <c r="C692" s="9" t="n"/>
      <c r="D692" s="10" t="n"/>
      <c r="E692" s="10" t="n"/>
      <c r="F692" s="10" t="n"/>
      <c r="G692" s="10" t="n"/>
      <c r="H692" s="10" t="n"/>
      <c r="I692" s="11">
        <f>IF(B692="","",DATE(YEAR(B692)+3,12,31))</f>
        <v/>
      </c>
      <c r="J692" s="8" t="n"/>
      <c r="K692" s="9" t="n"/>
      <c r="L692" s="8" t="n"/>
      <c r="M692" s="9" t="n"/>
      <c r="N692" s="8" t="n"/>
      <c r="O692" s="9" t="n"/>
      <c r="P692" s="12">
        <f>IF(C692="","",C692-SUM(K692,M692,O692))</f>
        <v/>
      </c>
      <c r="Q692" s="13">
        <f>IF(A692="","",IF(P692&lt;=0,"eingelöst",IF(AND(I692&lt;&gt;"",TODAY()&gt;I692),"abgelaufen",IF(P692&lt;C692,"teilweise","offen"))))</f>
        <v/>
      </c>
    </row>
    <row r="693">
      <c r="A693" s="7" t="n"/>
      <c r="B693" s="8" t="n"/>
      <c r="C693" s="9" t="n"/>
      <c r="D693" s="10" t="n"/>
      <c r="E693" s="10" t="n"/>
      <c r="F693" s="10" t="n"/>
      <c r="G693" s="10" t="n"/>
      <c r="H693" s="10" t="n"/>
      <c r="I693" s="11">
        <f>IF(B693="","",DATE(YEAR(B693)+3,12,31))</f>
        <v/>
      </c>
      <c r="J693" s="8" t="n"/>
      <c r="K693" s="9" t="n"/>
      <c r="L693" s="8" t="n"/>
      <c r="M693" s="9" t="n"/>
      <c r="N693" s="8" t="n"/>
      <c r="O693" s="9" t="n"/>
      <c r="P693" s="12">
        <f>IF(C693="","",C693-SUM(K693,M693,O693))</f>
        <v/>
      </c>
      <c r="Q693" s="13">
        <f>IF(A693="","",IF(P693&lt;=0,"eingelöst",IF(AND(I693&lt;&gt;"",TODAY()&gt;I693),"abgelaufen",IF(P693&lt;C693,"teilweise","offen"))))</f>
        <v/>
      </c>
    </row>
    <row r="694">
      <c r="A694" s="7" t="n"/>
      <c r="B694" s="8" t="n"/>
      <c r="C694" s="9" t="n"/>
      <c r="D694" s="10" t="n"/>
      <c r="E694" s="10" t="n"/>
      <c r="F694" s="10" t="n"/>
      <c r="G694" s="10" t="n"/>
      <c r="H694" s="10" t="n"/>
      <c r="I694" s="11">
        <f>IF(B694="","",DATE(YEAR(B694)+3,12,31))</f>
        <v/>
      </c>
      <c r="J694" s="8" t="n"/>
      <c r="K694" s="9" t="n"/>
      <c r="L694" s="8" t="n"/>
      <c r="M694" s="9" t="n"/>
      <c r="N694" s="8" t="n"/>
      <c r="O694" s="9" t="n"/>
      <c r="P694" s="12">
        <f>IF(C694="","",C694-SUM(K694,M694,O694))</f>
        <v/>
      </c>
      <c r="Q694" s="13">
        <f>IF(A694="","",IF(P694&lt;=0,"eingelöst",IF(AND(I694&lt;&gt;"",TODAY()&gt;I694),"abgelaufen",IF(P694&lt;C694,"teilweise","offen"))))</f>
        <v/>
      </c>
    </row>
    <row r="695">
      <c r="A695" s="7" t="n"/>
      <c r="B695" s="8" t="n"/>
      <c r="C695" s="9" t="n"/>
      <c r="D695" s="10" t="n"/>
      <c r="E695" s="10" t="n"/>
      <c r="F695" s="10" t="n"/>
      <c r="G695" s="10" t="n"/>
      <c r="H695" s="10" t="n"/>
      <c r="I695" s="11">
        <f>IF(B695="","",DATE(YEAR(B695)+3,12,31))</f>
        <v/>
      </c>
      <c r="J695" s="8" t="n"/>
      <c r="K695" s="9" t="n"/>
      <c r="L695" s="8" t="n"/>
      <c r="M695" s="9" t="n"/>
      <c r="N695" s="8" t="n"/>
      <c r="O695" s="9" t="n"/>
      <c r="P695" s="12">
        <f>IF(C695="","",C695-SUM(K695,M695,O695))</f>
        <v/>
      </c>
      <c r="Q695" s="13">
        <f>IF(A695="","",IF(P695&lt;=0,"eingelöst",IF(AND(I695&lt;&gt;"",TODAY()&gt;I695),"abgelaufen",IF(P695&lt;C695,"teilweise","offen"))))</f>
        <v/>
      </c>
    </row>
    <row r="696">
      <c r="A696" s="7" t="n"/>
      <c r="B696" s="8" t="n"/>
      <c r="C696" s="9" t="n"/>
      <c r="D696" s="10" t="n"/>
      <c r="E696" s="10" t="n"/>
      <c r="F696" s="10" t="n"/>
      <c r="G696" s="10" t="n"/>
      <c r="H696" s="10" t="n"/>
      <c r="I696" s="11">
        <f>IF(B696="","",DATE(YEAR(B696)+3,12,31))</f>
        <v/>
      </c>
      <c r="J696" s="8" t="n"/>
      <c r="K696" s="9" t="n"/>
      <c r="L696" s="8" t="n"/>
      <c r="M696" s="9" t="n"/>
      <c r="N696" s="8" t="n"/>
      <c r="O696" s="9" t="n"/>
      <c r="P696" s="12">
        <f>IF(C696="","",C696-SUM(K696,M696,O696))</f>
        <v/>
      </c>
      <c r="Q696" s="13">
        <f>IF(A696="","",IF(P696&lt;=0,"eingelöst",IF(AND(I696&lt;&gt;"",TODAY()&gt;I696),"abgelaufen",IF(P696&lt;C696,"teilweise","offen"))))</f>
        <v/>
      </c>
    </row>
    <row r="697">
      <c r="A697" s="7" t="n"/>
      <c r="B697" s="8" t="n"/>
      <c r="C697" s="9" t="n"/>
      <c r="D697" s="10" t="n"/>
      <c r="E697" s="10" t="n"/>
      <c r="F697" s="10" t="n"/>
      <c r="G697" s="10" t="n"/>
      <c r="H697" s="10" t="n"/>
      <c r="I697" s="11">
        <f>IF(B697="","",DATE(YEAR(B697)+3,12,31))</f>
        <v/>
      </c>
      <c r="J697" s="8" t="n"/>
      <c r="K697" s="9" t="n"/>
      <c r="L697" s="8" t="n"/>
      <c r="M697" s="9" t="n"/>
      <c r="N697" s="8" t="n"/>
      <c r="O697" s="9" t="n"/>
      <c r="P697" s="12">
        <f>IF(C697="","",C697-SUM(K697,M697,O697))</f>
        <v/>
      </c>
      <c r="Q697" s="13">
        <f>IF(A697="","",IF(P697&lt;=0,"eingelöst",IF(AND(I697&lt;&gt;"",TODAY()&gt;I697),"abgelaufen",IF(P697&lt;C697,"teilweise","offen"))))</f>
        <v/>
      </c>
    </row>
    <row r="698">
      <c r="A698" s="7" t="n"/>
      <c r="B698" s="8" t="n"/>
      <c r="C698" s="9" t="n"/>
      <c r="D698" s="10" t="n"/>
      <c r="E698" s="10" t="n"/>
      <c r="F698" s="10" t="n"/>
      <c r="G698" s="10" t="n"/>
      <c r="H698" s="10" t="n"/>
      <c r="I698" s="11">
        <f>IF(B698="","",DATE(YEAR(B698)+3,12,31))</f>
        <v/>
      </c>
      <c r="J698" s="8" t="n"/>
      <c r="K698" s="9" t="n"/>
      <c r="L698" s="8" t="n"/>
      <c r="M698" s="9" t="n"/>
      <c r="N698" s="8" t="n"/>
      <c r="O698" s="9" t="n"/>
      <c r="P698" s="12">
        <f>IF(C698="","",C698-SUM(K698,M698,O698))</f>
        <v/>
      </c>
      <c r="Q698" s="13">
        <f>IF(A698="","",IF(P698&lt;=0,"eingelöst",IF(AND(I698&lt;&gt;"",TODAY()&gt;I698),"abgelaufen",IF(P698&lt;C698,"teilweise","offen"))))</f>
        <v/>
      </c>
    </row>
    <row r="699">
      <c r="A699" s="7" t="n"/>
      <c r="B699" s="8" t="n"/>
      <c r="C699" s="9" t="n"/>
      <c r="D699" s="10" t="n"/>
      <c r="E699" s="10" t="n"/>
      <c r="F699" s="10" t="n"/>
      <c r="G699" s="10" t="n"/>
      <c r="H699" s="10" t="n"/>
      <c r="I699" s="11">
        <f>IF(B699="","",DATE(YEAR(B699)+3,12,31))</f>
        <v/>
      </c>
      <c r="J699" s="8" t="n"/>
      <c r="K699" s="9" t="n"/>
      <c r="L699" s="8" t="n"/>
      <c r="M699" s="9" t="n"/>
      <c r="N699" s="8" t="n"/>
      <c r="O699" s="9" t="n"/>
      <c r="P699" s="12">
        <f>IF(C699="","",C699-SUM(K699,M699,O699))</f>
        <v/>
      </c>
      <c r="Q699" s="13">
        <f>IF(A699="","",IF(P699&lt;=0,"eingelöst",IF(AND(I699&lt;&gt;"",TODAY()&gt;I699),"abgelaufen",IF(P699&lt;C699,"teilweise","offen"))))</f>
        <v/>
      </c>
    </row>
    <row r="700">
      <c r="A700" s="7" t="n"/>
      <c r="B700" s="8" t="n"/>
      <c r="C700" s="9" t="n"/>
      <c r="D700" s="10" t="n"/>
      <c r="E700" s="10" t="n"/>
      <c r="F700" s="10" t="n"/>
      <c r="G700" s="10" t="n"/>
      <c r="H700" s="10" t="n"/>
      <c r="I700" s="11">
        <f>IF(B700="","",DATE(YEAR(B700)+3,12,31))</f>
        <v/>
      </c>
      <c r="J700" s="8" t="n"/>
      <c r="K700" s="9" t="n"/>
      <c r="L700" s="8" t="n"/>
      <c r="M700" s="9" t="n"/>
      <c r="N700" s="8" t="n"/>
      <c r="O700" s="9" t="n"/>
      <c r="P700" s="12">
        <f>IF(C700="","",C700-SUM(K700,M700,O700))</f>
        <v/>
      </c>
      <c r="Q700" s="13">
        <f>IF(A700="","",IF(P700&lt;=0,"eingelöst",IF(AND(I700&lt;&gt;"",TODAY()&gt;I700),"abgelaufen",IF(P700&lt;C700,"teilweise","offen"))))</f>
        <v/>
      </c>
    </row>
    <row r="701">
      <c r="A701" s="7" t="n"/>
      <c r="B701" s="8" t="n"/>
      <c r="C701" s="9" t="n"/>
      <c r="D701" s="10" t="n"/>
      <c r="E701" s="10" t="n"/>
      <c r="F701" s="10" t="n"/>
      <c r="G701" s="10" t="n"/>
      <c r="H701" s="10" t="n"/>
      <c r="I701" s="11">
        <f>IF(B701="","",DATE(YEAR(B701)+3,12,31))</f>
        <v/>
      </c>
      <c r="J701" s="8" t="n"/>
      <c r="K701" s="9" t="n"/>
      <c r="L701" s="8" t="n"/>
      <c r="M701" s="9" t="n"/>
      <c r="N701" s="8" t="n"/>
      <c r="O701" s="9" t="n"/>
      <c r="P701" s="12">
        <f>IF(C701="","",C701-SUM(K701,M701,O701))</f>
        <v/>
      </c>
      <c r="Q701" s="13">
        <f>IF(A701="","",IF(P701&lt;=0,"eingelöst",IF(AND(I701&lt;&gt;"",TODAY()&gt;I701),"abgelaufen",IF(P701&lt;C701,"teilweise","offen"))))</f>
        <v/>
      </c>
    </row>
    <row r="702">
      <c r="A702" s="7" t="n"/>
      <c r="B702" s="8" t="n"/>
      <c r="C702" s="9" t="n"/>
      <c r="D702" s="10" t="n"/>
      <c r="E702" s="10" t="n"/>
      <c r="F702" s="10" t="n"/>
      <c r="G702" s="10" t="n"/>
      <c r="H702" s="10" t="n"/>
      <c r="I702" s="11">
        <f>IF(B702="","",DATE(YEAR(B702)+3,12,31))</f>
        <v/>
      </c>
      <c r="J702" s="8" t="n"/>
      <c r="K702" s="9" t="n"/>
      <c r="L702" s="8" t="n"/>
      <c r="M702" s="9" t="n"/>
      <c r="N702" s="8" t="n"/>
      <c r="O702" s="9" t="n"/>
      <c r="P702" s="12">
        <f>IF(C702="","",C702-SUM(K702,M702,O702))</f>
        <v/>
      </c>
      <c r="Q702" s="13">
        <f>IF(A702="","",IF(P702&lt;=0,"eingelöst",IF(AND(I702&lt;&gt;"",TODAY()&gt;I702),"abgelaufen",IF(P702&lt;C702,"teilweise","offen"))))</f>
        <v/>
      </c>
    </row>
    <row r="703">
      <c r="A703" s="7" t="n"/>
      <c r="B703" s="8" t="n"/>
      <c r="C703" s="9" t="n"/>
      <c r="D703" s="10" t="n"/>
      <c r="E703" s="10" t="n"/>
      <c r="F703" s="10" t="n"/>
      <c r="G703" s="10" t="n"/>
      <c r="H703" s="10" t="n"/>
      <c r="I703" s="11">
        <f>IF(B703="","",DATE(YEAR(B703)+3,12,31))</f>
        <v/>
      </c>
      <c r="J703" s="8" t="n"/>
      <c r="K703" s="9" t="n"/>
      <c r="L703" s="8" t="n"/>
      <c r="M703" s="9" t="n"/>
      <c r="N703" s="8" t="n"/>
      <c r="O703" s="9" t="n"/>
      <c r="P703" s="12">
        <f>IF(C703="","",C703-SUM(K703,M703,O703))</f>
        <v/>
      </c>
      <c r="Q703" s="13">
        <f>IF(A703="","",IF(P703&lt;=0,"eingelöst",IF(AND(I703&lt;&gt;"",TODAY()&gt;I703),"abgelaufen",IF(P703&lt;C703,"teilweise","offen"))))</f>
        <v/>
      </c>
    </row>
    <row r="704">
      <c r="A704" s="7" t="n"/>
      <c r="B704" s="8" t="n"/>
      <c r="C704" s="9" t="n"/>
      <c r="D704" s="10" t="n"/>
      <c r="E704" s="10" t="n"/>
      <c r="F704" s="10" t="n"/>
      <c r="G704" s="10" t="n"/>
      <c r="H704" s="10" t="n"/>
      <c r="I704" s="11">
        <f>IF(B704="","",DATE(YEAR(B704)+3,12,31))</f>
        <v/>
      </c>
      <c r="J704" s="8" t="n"/>
      <c r="K704" s="9" t="n"/>
      <c r="L704" s="8" t="n"/>
      <c r="M704" s="9" t="n"/>
      <c r="N704" s="8" t="n"/>
      <c r="O704" s="9" t="n"/>
      <c r="P704" s="12">
        <f>IF(C704="","",C704-SUM(K704,M704,O704))</f>
        <v/>
      </c>
      <c r="Q704" s="13">
        <f>IF(A704="","",IF(P704&lt;=0,"eingelöst",IF(AND(I704&lt;&gt;"",TODAY()&gt;I704),"abgelaufen",IF(P704&lt;C704,"teilweise","offen"))))</f>
        <v/>
      </c>
    </row>
    <row r="705">
      <c r="A705" s="7" t="n"/>
      <c r="B705" s="8" t="n"/>
      <c r="C705" s="9" t="n"/>
      <c r="D705" s="10" t="n"/>
      <c r="E705" s="10" t="n"/>
      <c r="F705" s="10" t="n"/>
      <c r="G705" s="10" t="n"/>
      <c r="H705" s="10" t="n"/>
      <c r="I705" s="11">
        <f>IF(B705="","",DATE(YEAR(B705)+3,12,31))</f>
        <v/>
      </c>
      <c r="J705" s="8" t="n"/>
      <c r="K705" s="9" t="n"/>
      <c r="L705" s="8" t="n"/>
      <c r="M705" s="9" t="n"/>
      <c r="N705" s="8" t="n"/>
      <c r="O705" s="9" t="n"/>
      <c r="P705" s="12">
        <f>IF(C705="","",C705-SUM(K705,M705,O705))</f>
        <v/>
      </c>
      <c r="Q705" s="13">
        <f>IF(A705="","",IF(P705&lt;=0,"eingelöst",IF(AND(I705&lt;&gt;"",TODAY()&gt;I705),"abgelaufen",IF(P705&lt;C705,"teilweise","offen"))))</f>
        <v/>
      </c>
    </row>
    <row r="706">
      <c r="A706" s="7" t="n"/>
      <c r="B706" s="8" t="n"/>
      <c r="C706" s="9" t="n"/>
      <c r="D706" s="10" t="n"/>
      <c r="E706" s="10" t="n"/>
      <c r="F706" s="10" t="n"/>
      <c r="G706" s="10" t="n"/>
      <c r="H706" s="10" t="n"/>
      <c r="I706" s="11">
        <f>IF(B706="","",DATE(YEAR(B706)+3,12,31))</f>
        <v/>
      </c>
      <c r="J706" s="8" t="n"/>
      <c r="K706" s="9" t="n"/>
      <c r="L706" s="8" t="n"/>
      <c r="M706" s="9" t="n"/>
      <c r="N706" s="8" t="n"/>
      <c r="O706" s="9" t="n"/>
      <c r="P706" s="12">
        <f>IF(C706="","",C706-SUM(K706,M706,O706))</f>
        <v/>
      </c>
      <c r="Q706" s="13">
        <f>IF(A706="","",IF(P706&lt;=0,"eingelöst",IF(AND(I706&lt;&gt;"",TODAY()&gt;I706),"abgelaufen",IF(P706&lt;C706,"teilweise","offen"))))</f>
        <v/>
      </c>
    </row>
    <row r="707">
      <c r="A707" s="7" t="n"/>
      <c r="B707" s="8" t="n"/>
      <c r="C707" s="9" t="n"/>
      <c r="D707" s="10" t="n"/>
      <c r="E707" s="10" t="n"/>
      <c r="F707" s="10" t="n"/>
      <c r="G707" s="10" t="n"/>
      <c r="H707" s="10" t="n"/>
      <c r="I707" s="11">
        <f>IF(B707="","",DATE(YEAR(B707)+3,12,31))</f>
        <v/>
      </c>
      <c r="J707" s="8" t="n"/>
      <c r="K707" s="9" t="n"/>
      <c r="L707" s="8" t="n"/>
      <c r="M707" s="9" t="n"/>
      <c r="N707" s="8" t="n"/>
      <c r="O707" s="9" t="n"/>
      <c r="P707" s="12">
        <f>IF(C707="","",C707-SUM(K707,M707,O707))</f>
        <v/>
      </c>
      <c r="Q707" s="13">
        <f>IF(A707="","",IF(P707&lt;=0,"eingelöst",IF(AND(I707&lt;&gt;"",TODAY()&gt;I707),"abgelaufen",IF(P707&lt;C707,"teilweise","offen"))))</f>
        <v/>
      </c>
    </row>
    <row r="708">
      <c r="A708" s="7" t="n"/>
      <c r="B708" s="8" t="n"/>
      <c r="C708" s="9" t="n"/>
      <c r="D708" s="10" t="n"/>
      <c r="E708" s="10" t="n"/>
      <c r="F708" s="10" t="n"/>
      <c r="G708" s="10" t="n"/>
      <c r="H708" s="10" t="n"/>
      <c r="I708" s="11">
        <f>IF(B708="","",DATE(YEAR(B708)+3,12,31))</f>
        <v/>
      </c>
      <c r="J708" s="8" t="n"/>
      <c r="K708" s="9" t="n"/>
      <c r="L708" s="8" t="n"/>
      <c r="M708" s="9" t="n"/>
      <c r="N708" s="8" t="n"/>
      <c r="O708" s="9" t="n"/>
      <c r="P708" s="12">
        <f>IF(C708="","",C708-SUM(K708,M708,O708))</f>
        <v/>
      </c>
      <c r="Q708" s="13">
        <f>IF(A708="","",IF(P708&lt;=0,"eingelöst",IF(AND(I708&lt;&gt;"",TODAY()&gt;I708),"abgelaufen",IF(P708&lt;C708,"teilweise","offen"))))</f>
        <v/>
      </c>
    </row>
    <row r="709">
      <c r="A709" s="7" t="n"/>
      <c r="B709" s="8" t="n"/>
      <c r="C709" s="9" t="n"/>
      <c r="D709" s="10" t="n"/>
      <c r="E709" s="10" t="n"/>
      <c r="F709" s="10" t="n"/>
      <c r="G709" s="10" t="n"/>
      <c r="H709" s="10" t="n"/>
      <c r="I709" s="11">
        <f>IF(B709="","",DATE(YEAR(B709)+3,12,31))</f>
        <v/>
      </c>
      <c r="J709" s="8" t="n"/>
      <c r="K709" s="9" t="n"/>
      <c r="L709" s="8" t="n"/>
      <c r="M709" s="9" t="n"/>
      <c r="N709" s="8" t="n"/>
      <c r="O709" s="9" t="n"/>
      <c r="P709" s="12">
        <f>IF(C709="","",C709-SUM(K709,M709,O709))</f>
        <v/>
      </c>
      <c r="Q709" s="13">
        <f>IF(A709="","",IF(P709&lt;=0,"eingelöst",IF(AND(I709&lt;&gt;"",TODAY()&gt;I709),"abgelaufen",IF(P709&lt;C709,"teilweise","offen"))))</f>
        <v/>
      </c>
    </row>
    <row r="710">
      <c r="A710" s="7" t="n"/>
      <c r="B710" s="8" t="n"/>
      <c r="C710" s="9" t="n"/>
      <c r="D710" s="10" t="n"/>
      <c r="E710" s="10" t="n"/>
      <c r="F710" s="10" t="n"/>
      <c r="G710" s="10" t="n"/>
      <c r="H710" s="10" t="n"/>
      <c r="I710" s="11">
        <f>IF(B710="","",DATE(YEAR(B710)+3,12,31))</f>
        <v/>
      </c>
      <c r="J710" s="8" t="n"/>
      <c r="K710" s="9" t="n"/>
      <c r="L710" s="8" t="n"/>
      <c r="M710" s="9" t="n"/>
      <c r="N710" s="8" t="n"/>
      <c r="O710" s="9" t="n"/>
      <c r="P710" s="12">
        <f>IF(C710="","",C710-SUM(K710,M710,O710))</f>
        <v/>
      </c>
      <c r="Q710" s="13">
        <f>IF(A710="","",IF(P710&lt;=0,"eingelöst",IF(AND(I710&lt;&gt;"",TODAY()&gt;I710),"abgelaufen",IF(P710&lt;C710,"teilweise","offen"))))</f>
        <v/>
      </c>
    </row>
    <row r="711">
      <c r="A711" s="7" t="n"/>
      <c r="B711" s="8" t="n"/>
      <c r="C711" s="9" t="n"/>
      <c r="D711" s="10" t="n"/>
      <c r="E711" s="10" t="n"/>
      <c r="F711" s="10" t="n"/>
      <c r="G711" s="10" t="n"/>
      <c r="H711" s="10" t="n"/>
      <c r="I711" s="11">
        <f>IF(B711="","",DATE(YEAR(B711)+3,12,31))</f>
        <v/>
      </c>
      <c r="J711" s="8" t="n"/>
      <c r="K711" s="9" t="n"/>
      <c r="L711" s="8" t="n"/>
      <c r="M711" s="9" t="n"/>
      <c r="N711" s="8" t="n"/>
      <c r="O711" s="9" t="n"/>
      <c r="P711" s="12">
        <f>IF(C711="","",C711-SUM(K711,M711,O711))</f>
        <v/>
      </c>
      <c r="Q711" s="13">
        <f>IF(A711="","",IF(P711&lt;=0,"eingelöst",IF(AND(I711&lt;&gt;"",TODAY()&gt;I711),"abgelaufen",IF(P711&lt;C711,"teilweise","offen"))))</f>
        <v/>
      </c>
    </row>
    <row r="712">
      <c r="A712" s="7" t="n"/>
      <c r="B712" s="8" t="n"/>
      <c r="C712" s="9" t="n"/>
      <c r="D712" s="10" t="n"/>
      <c r="E712" s="10" t="n"/>
      <c r="F712" s="10" t="n"/>
      <c r="G712" s="10" t="n"/>
      <c r="H712" s="10" t="n"/>
      <c r="I712" s="11">
        <f>IF(B712="","",DATE(YEAR(B712)+3,12,31))</f>
        <v/>
      </c>
      <c r="J712" s="8" t="n"/>
      <c r="K712" s="9" t="n"/>
      <c r="L712" s="8" t="n"/>
      <c r="M712" s="9" t="n"/>
      <c r="N712" s="8" t="n"/>
      <c r="O712" s="9" t="n"/>
      <c r="P712" s="12">
        <f>IF(C712="","",C712-SUM(K712,M712,O712))</f>
        <v/>
      </c>
      <c r="Q712" s="13">
        <f>IF(A712="","",IF(P712&lt;=0,"eingelöst",IF(AND(I712&lt;&gt;"",TODAY()&gt;I712),"abgelaufen",IF(P712&lt;C712,"teilweise","offen"))))</f>
        <v/>
      </c>
    </row>
    <row r="713">
      <c r="A713" s="7" t="n"/>
      <c r="B713" s="8" t="n"/>
      <c r="C713" s="9" t="n"/>
      <c r="D713" s="10" t="n"/>
      <c r="E713" s="10" t="n"/>
      <c r="F713" s="10" t="n"/>
      <c r="G713" s="10" t="n"/>
      <c r="H713" s="10" t="n"/>
      <c r="I713" s="11">
        <f>IF(B713="","",DATE(YEAR(B713)+3,12,31))</f>
        <v/>
      </c>
      <c r="J713" s="8" t="n"/>
      <c r="K713" s="9" t="n"/>
      <c r="L713" s="8" t="n"/>
      <c r="M713" s="9" t="n"/>
      <c r="N713" s="8" t="n"/>
      <c r="O713" s="9" t="n"/>
      <c r="P713" s="12">
        <f>IF(C713="","",C713-SUM(K713,M713,O713))</f>
        <v/>
      </c>
      <c r="Q713" s="13">
        <f>IF(A713="","",IF(P713&lt;=0,"eingelöst",IF(AND(I713&lt;&gt;"",TODAY()&gt;I713),"abgelaufen",IF(P713&lt;C713,"teilweise","offen"))))</f>
        <v/>
      </c>
    </row>
    <row r="714">
      <c r="A714" s="7" t="n"/>
      <c r="B714" s="8" t="n"/>
      <c r="C714" s="9" t="n"/>
      <c r="D714" s="10" t="n"/>
      <c r="E714" s="10" t="n"/>
      <c r="F714" s="10" t="n"/>
      <c r="G714" s="10" t="n"/>
      <c r="H714" s="10" t="n"/>
      <c r="I714" s="11">
        <f>IF(B714="","",DATE(YEAR(B714)+3,12,31))</f>
        <v/>
      </c>
      <c r="J714" s="8" t="n"/>
      <c r="K714" s="9" t="n"/>
      <c r="L714" s="8" t="n"/>
      <c r="M714" s="9" t="n"/>
      <c r="N714" s="8" t="n"/>
      <c r="O714" s="9" t="n"/>
      <c r="P714" s="12">
        <f>IF(C714="","",C714-SUM(K714,M714,O714))</f>
        <v/>
      </c>
      <c r="Q714" s="13">
        <f>IF(A714="","",IF(P714&lt;=0,"eingelöst",IF(AND(I714&lt;&gt;"",TODAY()&gt;I714),"abgelaufen",IF(P714&lt;C714,"teilweise","offen"))))</f>
        <v/>
      </c>
    </row>
    <row r="715">
      <c r="A715" s="7" t="n"/>
      <c r="B715" s="8" t="n"/>
      <c r="C715" s="9" t="n"/>
      <c r="D715" s="10" t="n"/>
      <c r="E715" s="10" t="n"/>
      <c r="F715" s="10" t="n"/>
      <c r="G715" s="10" t="n"/>
      <c r="H715" s="10" t="n"/>
      <c r="I715" s="11">
        <f>IF(B715="","",DATE(YEAR(B715)+3,12,31))</f>
        <v/>
      </c>
      <c r="J715" s="8" t="n"/>
      <c r="K715" s="9" t="n"/>
      <c r="L715" s="8" t="n"/>
      <c r="M715" s="9" t="n"/>
      <c r="N715" s="8" t="n"/>
      <c r="O715" s="9" t="n"/>
      <c r="P715" s="12">
        <f>IF(C715="","",C715-SUM(K715,M715,O715))</f>
        <v/>
      </c>
      <c r="Q715" s="13">
        <f>IF(A715="","",IF(P715&lt;=0,"eingelöst",IF(AND(I715&lt;&gt;"",TODAY()&gt;I715),"abgelaufen",IF(P715&lt;C715,"teilweise","offen"))))</f>
        <v/>
      </c>
    </row>
    <row r="716">
      <c r="A716" s="7" t="n"/>
      <c r="B716" s="8" t="n"/>
      <c r="C716" s="9" t="n"/>
      <c r="D716" s="10" t="n"/>
      <c r="E716" s="10" t="n"/>
      <c r="F716" s="10" t="n"/>
      <c r="G716" s="10" t="n"/>
      <c r="H716" s="10" t="n"/>
      <c r="I716" s="11">
        <f>IF(B716="","",DATE(YEAR(B716)+3,12,31))</f>
        <v/>
      </c>
      <c r="J716" s="8" t="n"/>
      <c r="K716" s="9" t="n"/>
      <c r="L716" s="8" t="n"/>
      <c r="M716" s="9" t="n"/>
      <c r="N716" s="8" t="n"/>
      <c r="O716" s="9" t="n"/>
      <c r="P716" s="12">
        <f>IF(C716="","",C716-SUM(K716,M716,O716))</f>
        <v/>
      </c>
      <c r="Q716" s="13">
        <f>IF(A716="","",IF(P716&lt;=0,"eingelöst",IF(AND(I716&lt;&gt;"",TODAY()&gt;I716),"abgelaufen",IF(P716&lt;C716,"teilweise","offen"))))</f>
        <v/>
      </c>
    </row>
    <row r="717">
      <c r="A717" s="7" t="n"/>
      <c r="B717" s="8" t="n"/>
      <c r="C717" s="9" t="n"/>
      <c r="D717" s="10" t="n"/>
      <c r="E717" s="10" t="n"/>
      <c r="F717" s="10" t="n"/>
      <c r="G717" s="10" t="n"/>
      <c r="H717" s="10" t="n"/>
      <c r="I717" s="11">
        <f>IF(B717="","",DATE(YEAR(B717)+3,12,31))</f>
        <v/>
      </c>
      <c r="J717" s="8" t="n"/>
      <c r="K717" s="9" t="n"/>
      <c r="L717" s="8" t="n"/>
      <c r="M717" s="9" t="n"/>
      <c r="N717" s="8" t="n"/>
      <c r="O717" s="9" t="n"/>
      <c r="P717" s="12">
        <f>IF(C717="","",C717-SUM(K717,M717,O717))</f>
        <v/>
      </c>
      <c r="Q717" s="13">
        <f>IF(A717="","",IF(P717&lt;=0,"eingelöst",IF(AND(I717&lt;&gt;"",TODAY()&gt;I717),"abgelaufen",IF(P717&lt;C717,"teilweise","offen"))))</f>
        <v/>
      </c>
    </row>
    <row r="718">
      <c r="A718" s="7" t="n"/>
      <c r="B718" s="8" t="n"/>
      <c r="C718" s="9" t="n"/>
      <c r="D718" s="10" t="n"/>
      <c r="E718" s="10" t="n"/>
      <c r="F718" s="10" t="n"/>
      <c r="G718" s="10" t="n"/>
      <c r="H718" s="10" t="n"/>
      <c r="I718" s="11">
        <f>IF(B718="","",DATE(YEAR(B718)+3,12,31))</f>
        <v/>
      </c>
      <c r="J718" s="8" t="n"/>
      <c r="K718" s="9" t="n"/>
      <c r="L718" s="8" t="n"/>
      <c r="M718" s="9" t="n"/>
      <c r="N718" s="8" t="n"/>
      <c r="O718" s="9" t="n"/>
      <c r="P718" s="12">
        <f>IF(C718="","",C718-SUM(K718,M718,O718))</f>
        <v/>
      </c>
      <c r="Q718" s="13">
        <f>IF(A718="","",IF(P718&lt;=0,"eingelöst",IF(AND(I718&lt;&gt;"",TODAY()&gt;I718),"abgelaufen",IF(P718&lt;C718,"teilweise","offen"))))</f>
        <v/>
      </c>
    </row>
    <row r="719">
      <c r="A719" s="7" t="n"/>
      <c r="B719" s="8" t="n"/>
      <c r="C719" s="9" t="n"/>
      <c r="D719" s="10" t="n"/>
      <c r="E719" s="10" t="n"/>
      <c r="F719" s="10" t="n"/>
      <c r="G719" s="10" t="n"/>
      <c r="H719" s="10" t="n"/>
      <c r="I719" s="11">
        <f>IF(B719="","",DATE(YEAR(B719)+3,12,31))</f>
        <v/>
      </c>
      <c r="J719" s="8" t="n"/>
      <c r="K719" s="9" t="n"/>
      <c r="L719" s="8" t="n"/>
      <c r="M719" s="9" t="n"/>
      <c r="N719" s="8" t="n"/>
      <c r="O719" s="9" t="n"/>
      <c r="P719" s="12">
        <f>IF(C719="","",C719-SUM(K719,M719,O719))</f>
        <v/>
      </c>
      <c r="Q719" s="13">
        <f>IF(A719="","",IF(P719&lt;=0,"eingelöst",IF(AND(I719&lt;&gt;"",TODAY()&gt;I719),"abgelaufen",IF(P719&lt;C719,"teilweise","offen"))))</f>
        <v/>
      </c>
    </row>
    <row r="720">
      <c r="A720" s="7" t="n"/>
      <c r="B720" s="8" t="n"/>
      <c r="C720" s="9" t="n"/>
      <c r="D720" s="10" t="n"/>
      <c r="E720" s="10" t="n"/>
      <c r="F720" s="10" t="n"/>
      <c r="G720" s="10" t="n"/>
      <c r="H720" s="10" t="n"/>
      <c r="I720" s="11">
        <f>IF(B720="","",DATE(YEAR(B720)+3,12,31))</f>
        <v/>
      </c>
      <c r="J720" s="8" t="n"/>
      <c r="K720" s="9" t="n"/>
      <c r="L720" s="8" t="n"/>
      <c r="M720" s="9" t="n"/>
      <c r="N720" s="8" t="n"/>
      <c r="O720" s="9" t="n"/>
      <c r="P720" s="12">
        <f>IF(C720="","",C720-SUM(K720,M720,O720))</f>
        <v/>
      </c>
      <c r="Q720" s="13">
        <f>IF(A720="","",IF(P720&lt;=0,"eingelöst",IF(AND(I720&lt;&gt;"",TODAY()&gt;I720),"abgelaufen",IF(P720&lt;C720,"teilweise","offen"))))</f>
        <v/>
      </c>
    </row>
    <row r="721">
      <c r="A721" s="7" t="n"/>
      <c r="B721" s="8" t="n"/>
      <c r="C721" s="9" t="n"/>
      <c r="D721" s="10" t="n"/>
      <c r="E721" s="10" t="n"/>
      <c r="F721" s="10" t="n"/>
      <c r="G721" s="10" t="n"/>
      <c r="H721" s="10" t="n"/>
      <c r="I721" s="11">
        <f>IF(B721="","",DATE(YEAR(B721)+3,12,31))</f>
        <v/>
      </c>
      <c r="J721" s="8" t="n"/>
      <c r="K721" s="9" t="n"/>
      <c r="L721" s="8" t="n"/>
      <c r="M721" s="9" t="n"/>
      <c r="N721" s="8" t="n"/>
      <c r="O721" s="9" t="n"/>
      <c r="P721" s="12">
        <f>IF(C721="","",C721-SUM(K721,M721,O721))</f>
        <v/>
      </c>
      <c r="Q721" s="13">
        <f>IF(A721="","",IF(P721&lt;=0,"eingelöst",IF(AND(I721&lt;&gt;"",TODAY()&gt;I721),"abgelaufen",IF(P721&lt;C721,"teilweise","offen"))))</f>
        <v/>
      </c>
    </row>
    <row r="722">
      <c r="A722" s="7" t="n"/>
      <c r="B722" s="8" t="n"/>
      <c r="C722" s="9" t="n"/>
      <c r="D722" s="10" t="n"/>
      <c r="E722" s="10" t="n"/>
      <c r="F722" s="10" t="n"/>
      <c r="G722" s="10" t="n"/>
      <c r="H722" s="10" t="n"/>
      <c r="I722" s="11">
        <f>IF(B722="","",DATE(YEAR(B722)+3,12,31))</f>
        <v/>
      </c>
      <c r="J722" s="8" t="n"/>
      <c r="K722" s="9" t="n"/>
      <c r="L722" s="8" t="n"/>
      <c r="M722" s="9" t="n"/>
      <c r="N722" s="8" t="n"/>
      <c r="O722" s="9" t="n"/>
      <c r="P722" s="12">
        <f>IF(C722="","",C722-SUM(K722,M722,O722))</f>
        <v/>
      </c>
      <c r="Q722" s="13">
        <f>IF(A722="","",IF(P722&lt;=0,"eingelöst",IF(AND(I722&lt;&gt;"",TODAY()&gt;I722),"abgelaufen",IF(P722&lt;C722,"teilweise","offen"))))</f>
        <v/>
      </c>
    </row>
    <row r="723">
      <c r="A723" s="7" t="n"/>
      <c r="B723" s="8" t="n"/>
      <c r="C723" s="9" t="n"/>
      <c r="D723" s="10" t="n"/>
      <c r="E723" s="10" t="n"/>
      <c r="F723" s="10" t="n"/>
      <c r="G723" s="10" t="n"/>
      <c r="H723" s="10" t="n"/>
      <c r="I723" s="11">
        <f>IF(B723="","",DATE(YEAR(B723)+3,12,31))</f>
        <v/>
      </c>
      <c r="J723" s="8" t="n"/>
      <c r="K723" s="9" t="n"/>
      <c r="L723" s="8" t="n"/>
      <c r="M723" s="9" t="n"/>
      <c r="N723" s="8" t="n"/>
      <c r="O723" s="9" t="n"/>
      <c r="P723" s="12">
        <f>IF(C723="","",C723-SUM(K723,M723,O723))</f>
        <v/>
      </c>
      <c r="Q723" s="13">
        <f>IF(A723="","",IF(P723&lt;=0,"eingelöst",IF(AND(I723&lt;&gt;"",TODAY()&gt;I723),"abgelaufen",IF(P723&lt;C723,"teilweise","offen"))))</f>
        <v/>
      </c>
    </row>
    <row r="724">
      <c r="A724" s="7" t="n"/>
      <c r="B724" s="8" t="n"/>
      <c r="C724" s="9" t="n"/>
      <c r="D724" s="10" t="n"/>
      <c r="E724" s="10" t="n"/>
      <c r="F724" s="10" t="n"/>
      <c r="G724" s="10" t="n"/>
      <c r="H724" s="10" t="n"/>
      <c r="I724" s="11">
        <f>IF(B724="","",DATE(YEAR(B724)+3,12,31))</f>
        <v/>
      </c>
      <c r="J724" s="8" t="n"/>
      <c r="K724" s="9" t="n"/>
      <c r="L724" s="8" t="n"/>
      <c r="M724" s="9" t="n"/>
      <c r="N724" s="8" t="n"/>
      <c r="O724" s="9" t="n"/>
      <c r="P724" s="12">
        <f>IF(C724="","",C724-SUM(K724,M724,O724))</f>
        <v/>
      </c>
      <c r="Q724" s="13">
        <f>IF(A724="","",IF(P724&lt;=0,"eingelöst",IF(AND(I724&lt;&gt;"",TODAY()&gt;I724),"abgelaufen",IF(P724&lt;C724,"teilweise","offen"))))</f>
        <v/>
      </c>
    </row>
    <row r="725">
      <c r="A725" s="7" t="n"/>
      <c r="B725" s="8" t="n"/>
      <c r="C725" s="9" t="n"/>
      <c r="D725" s="10" t="n"/>
      <c r="E725" s="10" t="n"/>
      <c r="F725" s="10" t="n"/>
      <c r="G725" s="10" t="n"/>
      <c r="H725" s="10" t="n"/>
      <c r="I725" s="11">
        <f>IF(B725="","",DATE(YEAR(B725)+3,12,31))</f>
        <v/>
      </c>
      <c r="J725" s="8" t="n"/>
      <c r="K725" s="9" t="n"/>
      <c r="L725" s="8" t="n"/>
      <c r="M725" s="9" t="n"/>
      <c r="N725" s="8" t="n"/>
      <c r="O725" s="9" t="n"/>
      <c r="P725" s="12">
        <f>IF(C725="","",C725-SUM(K725,M725,O725))</f>
        <v/>
      </c>
      <c r="Q725" s="13">
        <f>IF(A725="","",IF(P725&lt;=0,"eingelöst",IF(AND(I725&lt;&gt;"",TODAY()&gt;I725),"abgelaufen",IF(P725&lt;C725,"teilweise","offen"))))</f>
        <v/>
      </c>
    </row>
    <row r="726">
      <c r="A726" s="7" t="n"/>
      <c r="B726" s="8" t="n"/>
      <c r="C726" s="9" t="n"/>
      <c r="D726" s="10" t="n"/>
      <c r="E726" s="10" t="n"/>
      <c r="F726" s="10" t="n"/>
      <c r="G726" s="10" t="n"/>
      <c r="H726" s="10" t="n"/>
      <c r="I726" s="11">
        <f>IF(B726="","",DATE(YEAR(B726)+3,12,31))</f>
        <v/>
      </c>
      <c r="J726" s="8" t="n"/>
      <c r="K726" s="9" t="n"/>
      <c r="L726" s="8" t="n"/>
      <c r="M726" s="9" t="n"/>
      <c r="N726" s="8" t="n"/>
      <c r="O726" s="9" t="n"/>
      <c r="P726" s="12">
        <f>IF(C726="","",C726-SUM(K726,M726,O726))</f>
        <v/>
      </c>
      <c r="Q726" s="13">
        <f>IF(A726="","",IF(P726&lt;=0,"eingelöst",IF(AND(I726&lt;&gt;"",TODAY()&gt;I726),"abgelaufen",IF(P726&lt;C726,"teilweise","offen"))))</f>
        <v/>
      </c>
    </row>
    <row r="727">
      <c r="A727" s="7" t="n"/>
      <c r="B727" s="8" t="n"/>
      <c r="C727" s="9" t="n"/>
      <c r="D727" s="10" t="n"/>
      <c r="E727" s="10" t="n"/>
      <c r="F727" s="10" t="n"/>
      <c r="G727" s="10" t="n"/>
      <c r="H727" s="10" t="n"/>
      <c r="I727" s="11">
        <f>IF(B727="","",DATE(YEAR(B727)+3,12,31))</f>
        <v/>
      </c>
      <c r="J727" s="8" t="n"/>
      <c r="K727" s="9" t="n"/>
      <c r="L727" s="8" t="n"/>
      <c r="M727" s="9" t="n"/>
      <c r="N727" s="8" t="n"/>
      <c r="O727" s="9" t="n"/>
      <c r="P727" s="12">
        <f>IF(C727="","",C727-SUM(K727,M727,O727))</f>
        <v/>
      </c>
      <c r="Q727" s="13">
        <f>IF(A727="","",IF(P727&lt;=0,"eingelöst",IF(AND(I727&lt;&gt;"",TODAY()&gt;I727),"abgelaufen",IF(P727&lt;C727,"teilweise","offen"))))</f>
        <v/>
      </c>
    </row>
    <row r="728">
      <c r="A728" s="7" t="n"/>
      <c r="B728" s="8" t="n"/>
      <c r="C728" s="9" t="n"/>
      <c r="D728" s="10" t="n"/>
      <c r="E728" s="10" t="n"/>
      <c r="F728" s="10" t="n"/>
      <c r="G728" s="10" t="n"/>
      <c r="H728" s="10" t="n"/>
      <c r="I728" s="11">
        <f>IF(B728="","",DATE(YEAR(B728)+3,12,31))</f>
        <v/>
      </c>
      <c r="J728" s="8" t="n"/>
      <c r="K728" s="9" t="n"/>
      <c r="L728" s="8" t="n"/>
      <c r="M728" s="9" t="n"/>
      <c r="N728" s="8" t="n"/>
      <c r="O728" s="9" t="n"/>
      <c r="P728" s="12">
        <f>IF(C728="","",C728-SUM(K728,M728,O728))</f>
        <v/>
      </c>
      <c r="Q728" s="13">
        <f>IF(A728="","",IF(P728&lt;=0,"eingelöst",IF(AND(I728&lt;&gt;"",TODAY()&gt;I728),"abgelaufen",IF(P728&lt;C728,"teilweise","offen"))))</f>
        <v/>
      </c>
    </row>
    <row r="729">
      <c r="A729" s="7" t="n"/>
      <c r="B729" s="8" t="n"/>
      <c r="C729" s="9" t="n"/>
      <c r="D729" s="10" t="n"/>
      <c r="E729" s="10" t="n"/>
      <c r="F729" s="10" t="n"/>
      <c r="G729" s="10" t="n"/>
      <c r="H729" s="10" t="n"/>
      <c r="I729" s="11">
        <f>IF(B729="","",DATE(YEAR(B729)+3,12,31))</f>
        <v/>
      </c>
      <c r="J729" s="8" t="n"/>
      <c r="K729" s="9" t="n"/>
      <c r="L729" s="8" t="n"/>
      <c r="M729" s="9" t="n"/>
      <c r="N729" s="8" t="n"/>
      <c r="O729" s="9" t="n"/>
      <c r="P729" s="12">
        <f>IF(C729="","",C729-SUM(K729,M729,O729))</f>
        <v/>
      </c>
      <c r="Q729" s="13">
        <f>IF(A729="","",IF(P729&lt;=0,"eingelöst",IF(AND(I729&lt;&gt;"",TODAY()&gt;I729),"abgelaufen",IF(P729&lt;C729,"teilweise","offen"))))</f>
        <v/>
      </c>
    </row>
    <row r="730">
      <c r="A730" s="7" t="n"/>
      <c r="B730" s="8" t="n"/>
      <c r="C730" s="9" t="n"/>
      <c r="D730" s="10" t="n"/>
      <c r="E730" s="10" t="n"/>
      <c r="F730" s="10" t="n"/>
      <c r="G730" s="10" t="n"/>
      <c r="H730" s="10" t="n"/>
      <c r="I730" s="11">
        <f>IF(B730="","",DATE(YEAR(B730)+3,12,31))</f>
        <v/>
      </c>
      <c r="J730" s="8" t="n"/>
      <c r="K730" s="9" t="n"/>
      <c r="L730" s="8" t="n"/>
      <c r="M730" s="9" t="n"/>
      <c r="N730" s="8" t="n"/>
      <c r="O730" s="9" t="n"/>
      <c r="P730" s="12">
        <f>IF(C730="","",C730-SUM(K730,M730,O730))</f>
        <v/>
      </c>
      <c r="Q730" s="13">
        <f>IF(A730="","",IF(P730&lt;=0,"eingelöst",IF(AND(I730&lt;&gt;"",TODAY()&gt;I730),"abgelaufen",IF(P730&lt;C730,"teilweise","offen"))))</f>
        <v/>
      </c>
    </row>
    <row r="731">
      <c r="A731" s="7" t="n"/>
      <c r="B731" s="8" t="n"/>
      <c r="C731" s="9" t="n"/>
      <c r="D731" s="10" t="n"/>
      <c r="E731" s="10" t="n"/>
      <c r="F731" s="10" t="n"/>
      <c r="G731" s="10" t="n"/>
      <c r="H731" s="10" t="n"/>
      <c r="I731" s="11">
        <f>IF(B731="","",DATE(YEAR(B731)+3,12,31))</f>
        <v/>
      </c>
      <c r="J731" s="8" t="n"/>
      <c r="K731" s="9" t="n"/>
      <c r="L731" s="8" t="n"/>
      <c r="M731" s="9" t="n"/>
      <c r="N731" s="8" t="n"/>
      <c r="O731" s="9" t="n"/>
      <c r="P731" s="12">
        <f>IF(C731="","",C731-SUM(K731,M731,O731))</f>
        <v/>
      </c>
      <c r="Q731" s="13">
        <f>IF(A731="","",IF(P731&lt;=0,"eingelöst",IF(AND(I731&lt;&gt;"",TODAY()&gt;I731),"abgelaufen",IF(P731&lt;C731,"teilweise","offen"))))</f>
        <v/>
      </c>
    </row>
    <row r="732">
      <c r="A732" s="7" t="n"/>
      <c r="B732" s="8" t="n"/>
      <c r="C732" s="9" t="n"/>
      <c r="D732" s="10" t="n"/>
      <c r="E732" s="10" t="n"/>
      <c r="F732" s="10" t="n"/>
      <c r="G732" s="10" t="n"/>
      <c r="H732" s="10" t="n"/>
      <c r="I732" s="11">
        <f>IF(B732="","",DATE(YEAR(B732)+3,12,31))</f>
        <v/>
      </c>
      <c r="J732" s="8" t="n"/>
      <c r="K732" s="9" t="n"/>
      <c r="L732" s="8" t="n"/>
      <c r="M732" s="9" t="n"/>
      <c r="N732" s="8" t="n"/>
      <c r="O732" s="9" t="n"/>
      <c r="P732" s="12">
        <f>IF(C732="","",C732-SUM(K732,M732,O732))</f>
        <v/>
      </c>
      <c r="Q732" s="13">
        <f>IF(A732="","",IF(P732&lt;=0,"eingelöst",IF(AND(I732&lt;&gt;"",TODAY()&gt;I732),"abgelaufen",IF(P732&lt;C732,"teilweise","offen"))))</f>
        <v/>
      </c>
    </row>
    <row r="733">
      <c r="A733" s="7" t="n"/>
      <c r="B733" s="8" t="n"/>
      <c r="C733" s="9" t="n"/>
      <c r="D733" s="10" t="n"/>
      <c r="E733" s="10" t="n"/>
      <c r="F733" s="10" t="n"/>
      <c r="G733" s="10" t="n"/>
      <c r="H733" s="10" t="n"/>
      <c r="I733" s="11">
        <f>IF(B733="","",DATE(YEAR(B733)+3,12,31))</f>
        <v/>
      </c>
      <c r="J733" s="8" t="n"/>
      <c r="K733" s="9" t="n"/>
      <c r="L733" s="8" t="n"/>
      <c r="M733" s="9" t="n"/>
      <c r="N733" s="8" t="n"/>
      <c r="O733" s="9" t="n"/>
      <c r="P733" s="12">
        <f>IF(C733="","",C733-SUM(K733,M733,O733))</f>
        <v/>
      </c>
      <c r="Q733" s="13">
        <f>IF(A733="","",IF(P733&lt;=0,"eingelöst",IF(AND(I733&lt;&gt;"",TODAY()&gt;I733),"abgelaufen",IF(P733&lt;C733,"teilweise","offen"))))</f>
        <v/>
      </c>
    </row>
    <row r="734">
      <c r="A734" s="7" t="n"/>
      <c r="B734" s="8" t="n"/>
      <c r="C734" s="9" t="n"/>
      <c r="D734" s="10" t="n"/>
      <c r="E734" s="10" t="n"/>
      <c r="F734" s="10" t="n"/>
      <c r="G734" s="10" t="n"/>
      <c r="H734" s="10" t="n"/>
      <c r="I734" s="11">
        <f>IF(B734="","",DATE(YEAR(B734)+3,12,31))</f>
        <v/>
      </c>
      <c r="J734" s="8" t="n"/>
      <c r="K734" s="9" t="n"/>
      <c r="L734" s="8" t="n"/>
      <c r="M734" s="9" t="n"/>
      <c r="N734" s="8" t="n"/>
      <c r="O734" s="9" t="n"/>
      <c r="P734" s="12">
        <f>IF(C734="","",C734-SUM(K734,M734,O734))</f>
        <v/>
      </c>
      <c r="Q734" s="13">
        <f>IF(A734="","",IF(P734&lt;=0,"eingelöst",IF(AND(I734&lt;&gt;"",TODAY()&gt;I734),"abgelaufen",IF(P734&lt;C734,"teilweise","offen"))))</f>
        <v/>
      </c>
    </row>
    <row r="735">
      <c r="A735" s="7" t="n"/>
      <c r="B735" s="8" t="n"/>
      <c r="C735" s="9" t="n"/>
      <c r="D735" s="10" t="n"/>
      <c r="E735" s="10" t="n"/>
      <c r="F735" s="10" t="n"/>
      <c r="G735" s="10" t="n"/>
      <c r="H735" s="10" t="n"/>
      <c r="I735" s="11">
        <f>IF(B735="","",DATE(YEAR(B735)+3,12,31))</f>
        <v/>
      </c>
      <c r="J735" s="8" t="n"/>
      <c r="K735" s="9" t="n"/>
      <c r="L735" s="8" t="n"/>
      <c r="M735" s="9" t="n"/>
      <c r="N735" s="8" t="n"/>
      <c r="O735" s="9" t="n"/>
      <c r="P735" s="12">
        <f>IF(C735="","",C735-SUM(K735,M735,O735))</f>
        <v/>
      </c>
      <c r="Q735" s="13">
        <f>IF(A735="","",IF(P735&lt;=0,"eingelöst",IF(AND(I735&lt;&gt;"",TODAY()&gt;I735),"abgelaufen",IF(P735&lt;C735,"teilweise","offen"))))</f>
        <v/>
      </c>
    </row>
    <row r="736">
      <c r="A736" s="7" t="n"/>
      <c r="B736" s="8" t="n"/>
      <c r="C736" s="9" t="n"/>
      <c r="D736" s="10" t="n"/>
      <c r="E736" s="10" t="n"/>
      <c r="F736" s="10" t="n"/>
      <c r="G736" s="10" t="n"/>
      <c r="H736" s="10" t="n"/>
      <c r="I736" s="11">
        <f>IF(B736="","",DATE(YEAR(B736)+3,12,31))</f>
        <v/>
      </c>
      <c r="J736" s="8" t="n"/>
      <c r="K736" s="9" t="n"/>
      <c r="L736" s="8" t="n"/>
      <c r="M736" s="9" t="n"/>
      <c r="N736" s="8" t="n"/>
      <c r="O736" s="9" t="n"/>
      <c r="P736" s="12">
        <f>IF(C736="","",C736-SUM(K736,M736,O736))</f>
        <v/>
      </c>
      <c r="Q736" s="13">
        <f>IF(A736="","",IF(P736&lt;=0,"eingelöst",IF(AND(I736&lt;&gt;"",TODAY()&gt;I736),"abgelaufen",IF(P736&lt;C736,"teilweise","offen"))))</f>
        <v/>
      </c>
    </row>
    <row r="737">
      <c r="A737" s="7" t="n"/>
      <c r="B737" s="8" t="n"/>
      <c r="C737" s="9" t="n"/>
      <c r="D737" s="10" t="n"/>
      <c r="E737" s="10" t="n"/>
      <c r="F737" s="10" t="n"/>
      <c r="G737" s="10" t="n"/>
      <c r="H737" s="10" t="n"/>
      <c r="I737" s="11">
        <f>IF(B737="","",DATE(YEAR(B737)+3,12,31))</f>
        <v/>
      </c>
      <c r="J737" s="8" t="n"/>
      <c r="K737" s="9" t="n"/>
      <c r="L737" s="8" t="n"/>
      <c r="M737" s="9" t="n"/>
      <c r="N737" s="8" t="n"/>
      <c r="O737" s="9" t="n"/>
      <c r="P737" s="12">
        <f>IF(C737="","",C737-SUM(K737,M737,O737))</f>
        <v/>
      </c>
      <c r="Q737" s="13">
        <f>IF(A737="","",IF(P737&lt;=0,"eingelöst",IF(AND(I737&lt;&gt;"",TODAY()&gt;I737),"abgelaufen",IF(P737&lt;C737,"teilweise","offen"))))</f>
        <v/>
      </c>
    </row>
    <row r="738">
      <c r="A738" s="7" t="n"/>
      <c r="B738" s="8" t="n"/>
      <c r="C738" s="9" t="n"/>
      <c r="D738" s="10" t="n"/>
      <c r="E738" s="10" t="n"/>
      <c r="F738" s="10" t="n"/>
      <c r="G738" s="10" t="n"/>
      <c r="H738" s="10" t="n"/>
      <c r="I738" s="11">
        <f>IF(B738="","",DATE(YEAR(B738)+3,12,31))</f>
        <v/>
      </c>
      <c r="J738" s="8" t="n"/>
      <c r="K738" s="9" t="n"/>
      <c r="L738" s="8" t="n"/>
      <c r="M738" s="9" t="n"/>
      <c r="N738" s="8" t="n"/>
      <c r="O738" s="9" t="n"/>
      <c r="P738" s="12">
        <f>IF(C738="","",C738-SUM(K738,M738,O738))</f>
        <v/>
      </c>
      <c r="Q738" s="13">
        <f>IF(A738="","",IF(P738&lt;=0,"eingelöst",IF(AND(I738&lt;&gt;"",TODAY()&gt;I738),"abgelaufen",IF(P738&lt;C738,"teilweise","offen"))))</f>
        <v/>
      </c>
    </row>
    <row r="739">
      <c r="A739" s="7" t="n"/>
      <c r="B739" s="8" t="n"/>
      <c r="C739" s="9" t="n"/>
      <c r="D739" s="10" t="n"/>
      <c r="E739" s="10" t="n"/>
      <c r="F739" s="10" t="n"/>
      <c r="G739" s="10" t="n"/>
      <c r="H739" s="10" t="n"/>
      <c r="I739" s="11">
        <f>IF(B739="","",DATE(YEAR(B739)+3,12,31))</f>
        <v/>
      </c>
      <c r="J739" s="8" t="n"/>
      <c r="K739" s="9" t="n"/>
      <c r="L739" s="8" t="n"/>
      <c r="M739" s="9" t="n"/>
      <c r="N739" s="8" t="n"/>
      <c r="O739" s="9" t="n"/>
      <c r="P739" s="12">
        <f>IF(C739="","",C739-SUM(K739,M739,O739))</f>
        <v/>
      </c>
      <c r="Q739" s="13">
        <f>IF(A739="","",IF(P739&lt;=0,"eingelöst",IF(AND(I739&lt;&gt;"",TODAY()&gt;I739),"abgelaufen",IF(P739&lt;C739,"teilweise","offen"))))</f>
        <v/>
      </c>
    </row>
    <row r="740">
      <c r="A740" s="7" t="n"/>
      <c r="B740" s="8" t="n"/>
      <c r="C740" s="9" t="n"/>
      <c r="D740" s="10" t="n"/>
      <c r="E740" s="10" t="n"/>
      <c r="F740" s="10" t="n"/>
      <c r="G740" s="10" t="n"/>
      <c r="H740" s="10" t="n"/>
      <c r="I740" s="11">
        <f>IF(B740="","",DATE(YEAR(B740)+3,12,31))</f>
        <v/>
      </c>
      <c r="J740" s="8" t="n"/>
      <c r="K740" s="9" t="n"/>
      <c r="L740" s="8" t="n"/>
      <c r="M740" s="9" t="n"/>
      <c r="N740" s="8" t="n"/>
      <c r="O740" s="9" t="n"/>
      <c r="P740" s="12">
        <f>IF(C740="","",C740-SUM(K740,M740,O740))</f>
        <v/>
      </c>
      <c r="Q740" s="13">
        <f>IF(A740="","",IF(P740&lt;=0,"eingelöst",IF(AND(I740&lt;&gt;"",TODAY()&gt;I740),"abgelaufen",IF(P740&lt;C740,"teilweise","offen"))))</f>
        <v/>
      </c>
    </row>
    <row r="741">
      <c r="A741" s="7" t="n"/>
      <c r="B741" s="8" t="n"/>
      <c r="C741" s="9" t="n"/>
      <c r="D741" s="10" t="n"/>
      <c r="E741" s="10" t="n"/>
      <c r="F741" s="10" t="n"/>
      <c r="G741" s="10" t="n"/>
      <c r="H741" s="10" t="n"/>
      <c r="I741" s="11">
        <f>IF(B741="","",DATE(YEAR(B741)+3,12,31))</f>
        <v/>
      </c>
      <c r="J741" s="8" t="n"/>
      <c r="K741" s="9" t="n"/>
      <c r="L741" s="8" t="n"/>
      <c r="M741" s="9" t="n"/>
      <c r="N741" s="8" t="n"/>
      <c r="O741" s="9" t="n"/>
      <c r="P741" s="12">
        <f>IF(C741="","",C741-SUM(K741,M741,O741))</f>
        <v/>
      </c>
      <c r="Q741" s="13">
        <f>IF(A741="","",IF(P741&lt;=0,"eingelöst",IF(AND(I741&lt;&gt;"",TODAY()&gt;I741),"abgelaufen",IF(P741&lt;C741,"teilweise","offen"))))</f>
        <v/>
      </c>
    </row>
    <row r="742">
      <c r="A742" s="7" t="n"/>
      <c r="B742" s="8" t="n"/>
      <c r="C742" s="9" t="n"/>
      <c r="D742" s="10" t="n"/>
      <c r="E742" s="10" t="n"/>
      <c r="F742" s="10" t="n"/>
      <c r="G742" s="10" t="n"/>
      <c r="H742" s="10" t="n"/>
      <c r="I742" s="11">
        <f>IF(B742="","",DATE(YEAR(B742)+3,12,31))</f>
        <v/>
      </c>
      <c r="J742" s="8" t="n"/>
      <c r="K742" s="9" t="n"/>
      <c r="L742" s="8" t="n"/>
      <c r="M742" s="9" t="n"/>
      <c r="N742" s="8" t="n"/>
      <c r="O742" s="9" t="n"/>
      <c r="P742" s="12">
        <f>IF(C742="","",C742-SUM(K742,M742,O742))</f>
        <v/>
      </c>
      <c r="Q742" s="13">
        <f>IF(A742="","",IF(P742&lt;=0,"eingelöst",IF(AND(I742&lt;&gt;"",TODAY()&gt;I742),"abgelaufen",IF(P742&lt;C742,"teilweise","offen"))))</f>
        <v/>
      </c>
    </row>
    <row r="743">
      <c r="A743" s="7" t="n"/>
      <c r="B743" s="8" t="n"/>
      <c r="C743" s="9" t="n"/>
      <c r="D743" s="10" t="n"/>
      <c r="E743" s="10" t="n"/>
      <c r="F743" s="10" t="n"/>
      <c r="G743" s="10" t="n"/>
      <c r="H743" s="10" t="n"/>
      <c r="I743" s="11">
        <f>IF(B743="","",DATE(YEAR(B743)+3,12,31))</f>
        <v/>
      </c>
      <c r="J743" s="8" t="n"/>
      <c r="K743" s="9" t="n"/>
      <c r="L743" s="8" t="n"/>
      <c r="M743" s="9" t="n"/>
      <c r="N743" s="8" t="n"/>
      <c r="O743" s="9" t="n"/>
      <c r="P743" s="12">
        <f>IF(C743="","",C743-SUM(K743,M743,O743))</f>
        <v/>
      </c>
      <c r="Q743" s="13">
        <f>IF(A743="","",IF(P743&lt;=0,"eingelöst",IF(AND(I743&lt;&gt;"",TODAY()&gt;I743),"abgelaufen",IF(P743&lt;C743,"teilweise","offen"))))</f>
        <v/>
      </c>
    </row>
    <row r="744">
      <c r="A744" s="7" t="n"/>
      <c r="B744" s="8" t="n"/>
      <c r="C744" s="9" t="n"/>
      <c r="D744" s="10" t="n"/>
      <c r="E744" s="10" t="n"/>
      <c r="F744" s="10" t="n"/>
      <c r="G744" s="10" t="n"/>
      <c r="H744" s="10" t="n"/>
      <c r="I744" s="11">
        <f>IF(B744="","",DATE(YEAR(B744)+3,12,31))</f>
        <v/>
      </c>
      <c r="J744" s="8" t="n"/>
      <c r="K744" s="9" t="n"/>
      <c r="L744" s="8" t="n"/>
      <c r="M744" s="9" t="n"/>
      <c r="N744" s="8" t="n"/>
      <c r="O744" s="9" t="n"/>
      <c r="P744" s="12">
        <f>IF(C744="","",C744-SUM(K744,M744,O744))</f>
        <v/>
      </c>
      <c r="Q744" s="13">
        <f>IF(A744="","",IF(P744&lt;=0,"eingelöst",IF(AND(I744&lt;&gt;"",TODAY()&gt;I744),"abgelaufen",IF(P744&lt;C744,"teilweise","offen"))))</f>
        <v/>
      </c>
    </row>
    <row r="745">
      <c r="A745" s="7" t="n"/>
      <c r="B745" s="8" t="n"/>
      <c r="C745" s="9" t="n"/>
      <c r="D745" s="10" t="n"/>
      <c r="E745" s="10" t="n"/>
      <c r="F745" s="10" t="n"/>
      <c r="G745" s="10" t="n"/>
      <c r="H745" s="10" t="n"/>
      <c r="I745" s="11">
        <f>IF(B745="","",DATE(YEAR(B745)+3,12,31))</f>
        <v/>
      </c>
      <c r="J745" s="8" t="n"/>
      <c r="K745" s="9" t="n"/>
      <c r="L745" s="8" t="n"/>
      <c r="M745" s="9" t="n"/>
      <c r="N745" s="8" t="n"/>
      <c r="O745" s="9" t="n"/>
      <c r="P745" s="12">
        <f>IF(C745="","",C745-SUM(K745,M745,O745))</f>
        <v/>
      </c>
      <c r="Q745" s="13">
        <f>IF(A745="","",IF(P745&lt;=0,"eingelöst",IF(AND(I745&lt;&gt;"",TODAY()&gt;I745),"abgelaufen",IF(P745&lt;C745,"teilweise","offen"))))</f>
        <v/>
      </c>
    </row>
    <row r="746">
      <c r="A746" s="7" t="n"/>
      <c r="B746" s="8" t="n"/>
      <c r="C746" s="9" t="n"/>
      <c r="D746" s="10" t="n"/>
      <c r="E746" s="10" t="n"/>
      <c r="F746" s="10" t="n"/>
      <c r="G746" s="10" t="n"/>
      <c r="H746" s="10" t="n"/>
      <c r="I746" s="11">
        <f>IF(B746="","",DATE(YEAR(B746)+3,12,31))</f>
        <v/>
      </c>
      <c r="J746" s="8" t="n"/>
      <c r="K746" s="9" t="n"/>
      <c r="L746" s="8" t="n"/>
      <c r="M746" s="9" t="n"/>
      <c r="N746" s="8" t="n"/>
      <c r="O746" s="9" t="n"/>
      <c r="P746" s="12">
        <f>IF(C746="","",C746-SUM(K746,M746,O746))</f>
        <v/>
      </c>
      <c r="Q746" s="13">
        <f>IF(A746="","",IF(P746&lt;=0,"eingelöst",IF(AND(I746&lt;&gt;"",TODAY()&gt;I746),"abgelaufen",IF(P746&lt;C746,"teilweise","offen"))))</f>
        <v/>
      </c>
    </row>
    <row r="747">
      <c r="A747" s="7" t="n"/>
      <c r="B747" s="8" t="n"/>
      <c r="C747" s="9" t="n"/>
      <c r="D747" s="10" t="n"/>
      <c r="E747" s="10" t="n"/>
      <c r="F747" s="10" t="n"/>
      <c r="G747" s="10" t="n"/>
      <c r="H747" s="10" t="n"/>
      <c r="I747" s="11">
        <f>IF(B747="","",DATE(YEAR(B747)+3,12,31))</f>
        <v/>
      </c>
      <c r="J747" s="8" t="n"/>
      <c r="K747" s="9" t="n"/>
      <c r="L747" s="8" t="n"/>
      <c r="M747" s="9" t="n"/>
      <c r="N747" s="8" t="n"/>
      <c r="O747" s="9" t="n"/>
      <c r="P747" s="12">
        <f>IF(C747="","",C747-SUM(K747,M747,O747))</f>
        <v/>
      </c>
      <c r="Q747" s="13">
        <f>IF(A747="","",IF(P747&lt;=0,"eingelöst",IF(AND(I747&lt;&gt;"",TODAY()&gt;I747),"abgelaufen",IF(P747&lt;C747,"teilweise","offen"))))</f>
        <v/>
      </c>
    </row>
    <row r="748">
      <c r="A748" s="7" t="n"/>
      <c r="B748" s="8" t="n"/>
      <c r="C748" s="9" t="n"/>
      <c r="D748" s="10" t="n"/>
      <c r="E748" s="10" t="n"/>
      <c r="F748" s="10" t="n"/>
      <c r="G748" s="10" t="n"/>
      <c r="H748" s="10" t="n"/>
      <c r="I748" s="11">
        <f>IF(B748="","",DATE(YEAR(B748)+3,12,31))</f>
        <v/>
      </c>
      <c r="J748" s="8" t="n"/>
      <c r="K748" s="9" t="n"/>
      <c r="L748" s="8" t="n"/>
      <c r="M748" s="9" t="n"/>
      <c r="N748" s="8" t="n"/>
      <c r="O748" s="9" t="n"/>
      <c r="P748" s="12">
        <f>IF(C748="","",C748-SUM(K748,M748,O748))</f>
        <v/>
      </c>
      <c r="Q748" s="13">
        <f>IF(A748="","",IF(P748&lt;=0,"eingelöst",IF(AND(I748&lt;&gt;"",TODAY()&gt;I748),"abgelaufen",IF(P748&lt;C748,"teilweise","offen"))))</f>
        <v/>
      </c>
    </row>
    <row r="749">
      <c r="A749" s="7" t="n"/>
      <c r="B749" s="8" t="n"/>
      <c r="C749" s="9" t="n"/>
      <c r="D749" s="10" t="n"/>
      <c r="E749" s="10" t="n"/>
      <c r="F749" s="10" t="n"/>
      <c r="G749" s="10" t="n"/>
      <c r="H749" s="10" t="n"/>
      <c r="I749" s="11">
        <f>IF(B749="","",DATE(YEAR(B749)+3,12,31))</f>
        <v/>
      </c>
      <c r="J749" s="8" t="n"/>
      <c r="K749" s="9" t="n"/>
      <c r="L749" s="8" t="n"/>
      <c r="M749" s="9" t="n"/>
      <c r="N749" s="8" t="n"/>
      <c r="O749" s="9" t="n"/>
      <c r="P749" s="12">
        <f>IF(C749="","",C749-SUM(K749,M749,O749))</f>
        <v/>
      </c>
      <c r="Q749" s="13">
        <f>IF(A749="","",IF(P749&lt;=0,"eingelöst",IF(AND(I749&lt;&gt;"",TODAY()&gt;I749),"abgelaufen",IF(P749&lt;C749,"teilweise","offen"))))</f>
        <v/>
      </c>
    </row>
    <row r="750">
      <c r="A750" s="7" t="n"/>
      <c r="B750" s="8" t="n"/>
      <c r="C750" s="9" t="n"/>
      <c r="D750" s="10" t="n"/>
      <c r="E750" s="10" t="n"/>
      <c r="F750" s="10" t="n"/>
      <c r="G750" s="10" t="n"/>
      <c r="H750" s="10" t="n"/>
      <c r="I750" s="11">
        <f>IF(B750="","",DATE(YEAR(B750)+3,12,31))</f>
        <v/>
      </c>
      <c r="J750" s="8" t="n"/>
      <c r="K750" s="9" t="n"/>
      <c r="L750" s="8" t="n"/>
      <c r="M750" s="9" t="n"/>
      <c r="N750" s="8" t="n"/>
      <c r="O750" s="9" t="n"/>
      <c r="P750" s="12">
        <f>IF(C750="","",C750-SUM(K750,M750,O750))</f>
        <v/>
      </c>
      <c r="Q750" s="13">
        <f>IF(A750="","",IF(P750&lt;=0,"eingelöst",IF(AND(I750&lt;&gt;"",TODAY()&gt;I750),"abgelaufen",IF(P750&lt;C750,"teilweise","offen"))))</f>
        <v/>
      </c>
    </row>
    <row r="751">
      <c r="A751" s="7" t="n"/>
      <c r="B751" s="8" t="n"/>
      <c r="C751" s="9" t="n"/>
      <c r="D751" s="10" t="n"/>
      <c r="E751" s="10" t="n"/>
      <c r="F751" s="10" t="n"/>
      <c r="G751" s="10" t="n"/>
      <c r="H751" s="10" t="n"/>
      <c r="I751" s="11">
        <f>IF(B751="","",DATE(YEAR(B751)+3,12,31))</f>
        <v/>
      </c>
      <c r="J751" s="8" t="n"/>
      <c r="K751" s="9" t="n"/>
      <c r="L751" s="8" t="n"/>
      <c r="M751" s="9" t="n"/>
      <c r="N751" s="8" t="n"/>
      <c r="O751" s="9" t="n"/>
      <c r="P751" s="12">
        <f>IF(C751="","",C751-SUM(K751,M751,O751))</f>
        <v/>
      </c>
      <c r="Q751" s="13">
        <f>IF(A751="","",IF(P751&lt;=0,"eingelöst",IF(AND(I751&lt;&gt;"",TODAY()&gt;I751),"abgelaufen",IF(P751&lt;C751,"teilweise","offen"))))</f>
        <v/>
      </c>
    </row>
    <row r="752">
      <c r="A752" s="7" t="n"/>
      <c r="B752" s="8" t="n"/>
      <c r="C752" s="9" t="n"/>
      <c r="D752" s="10" t="n"/>
      <c r="E752" s="10" t="n"/>
      <c r="F752" s="10" t="n"/>
      <c r="G752" s="10" t="n"/>
      <c r="H752" s="10" t="n"/>
      <c r="I752" s="11">
        <f>IF(B752="","",DATE(YEAR(B752)+3,12,31))</f>
        <v/>
      </c>
      <c r="J752" s="8" t="n"/>
      <c r="K752" s="9" t="n"/>
      <c r="L752" s="8" t="n"/>
      <c r="M752" s="9" t="n"/>
      <c r="N752" s="8" t="n"/>
      <c r="O752" s="9" t="n"/>
      <c r="P752" s="12">
        <f>IF(C752="","",C752-SUM(K752,M752,O752))</f>
        <v/>
      </c>
      <c r="Q752" s="13">
        <f>IF(A752="","",IF(P752&lt;=0,"eingelöst",IF(AND(I752&lt;&gt;"",TODAY()&gt;I752),"abgelaufen",IF(P752&lt;C752,"teilweise","offen"))))</f>
        <v/>
      </c>
    </row>
    <row r="753">
      <c r="A753" s="7" t="n"/>
      <c r="B753" s="8" t="n"/>
      <c r="C753" s="9" t="n"/>
      <c r="D753" s="10" t="n"/>
      <c r="E753" s="10" t="n"/>
      <c r="F753" s="10" t="n"/>
      <c r="G753" s="10" t="n"/>
      <c r="H753" s="10" t="n"/>
      <c r="I753" s="11">
        <f>IF(B753="","",DATE(YEAR(B753)+3,12,31))</f>
        <v/>
      </c>
      <c r="J753" s="8" t="n"/>
      <c r="K753" s="9" t="n"/>
      <c r="L753" s="8" t="n"/>
      <c r="M753" s="9" t="n"/>
      <c r="N753" s="8" t="n"/>
      <c r="O753" s="9" t="n"/>
      <c r="P753" s="12">
        <f>IF(C753="","",C753-SUM(K753,M753,O753))</f>
        <v/>
      </c>
      <c r="Q753" s="13">
        <f>IF(A753="","",IF(P753&lt;=0,"eingelöst",IF(AND(I753&lt;&gt;"",TODAY()&gt;I753),"abgelaufen",IF(P753&lt;C753,"teilweise","offen"))))</f>
        <v/>
      </c>
    </row>
    <row r="754">
      <c r="A754" s="7" t="n"/>
      <c r="B754" s="8" t="n"/>
      <c r="C754" s="9" t="n"/>
      <c r="D754" s="10" t="n"/>
      <c r="E754" s="10" t="n"/>
      <c r="F754" s="10" t="n"/>
      <c r="G754" s="10" t="n"/>
      <c r="H754" s="10" t="n"/>
      <c r="I754" s="11">
        <f>IF(B754="","",DATE(YEAR(B754)+3,12,31))</f>
        <v/>
      </c>
      <c r="J754" s="8" t="n"/>
      <c r="K754" s="9" t="n"/>
      <c r="L754" s="8" t="n"/>
      <c r="M754" s="9" t="n"/>
      <c r="N754" s="8" t="n"/>
      <c r="O754" s="9" t="n"/>
      <c r="P754" s="12">
        <f>IF(C754="","",C754-SUM(K754,M754,O754))</f>
        <v/>
      </c>
      <c r="Q754" s="13">
        <f>IF(A754="","",IF(P754&lt;=0,"eingelöst",IF(AND(I754&lt;&gt;"",TODAY()&gt;I754),"abgelaufen",IF(P754&lt;C754,"teilweise","offen"))))</f>
        <v/>
      </c>
    </row>
    <row r="755">
      <c r="A755" s="7" t="n"/>
      <c r="B755" s="8" t="n"/>
      <c r="C755" s="9" t="n"/>
      <c r="D755" s="10" t="n"/>
      <c r="E755" s="10" t="n"/>
      <c r="F755" s="10" t="n"/>
      <c r="G755" s="10" t="n"/>
      <c r="H755" s="10" t="n"/>
      <c r="I755" s="11">
        <f>IF(B755="","",DATE(YEAR(B755)+3,12,31))</f>
        <v/>
      </c>
      <c r="J755" s="8" t="n"/>
      <c r="K755" s="9" t="n"/>
      <c r="L755" s="8" t="n"/>
      <c r="M755" s="9" t="n"/>
      <c r="N755" s="8" t="n"/>
      <c r="O755" s="9" t="n"/>
      <c r="P755" s="12">
        <f>IF(C755="","",C755-SUM(K755,M755,O755))</f>
        <v/>
      </c>
      <c r="Q755" s="13">
        <f>IF(A755="","",IF(P755&lt;=0,"eingelöst",IF(AND(I755&lt;&gt;"",TODAY()&gt;I755),"abgelaufen",IF(P755&lt;C755,"teilweise","offen"))))</f>
        <v/>
      </c>
    </row>
    <row r="756">
      <c r="A756" s="7" t="n"/>
      <c r="B756" s="8" t="n"/>
      <c r="C756" s="9" t="n"/>
      <c r="D756" s="10" t="n"/>
      <c r="E756" s="10" t="n"/>
      <c r="F756" s="10" t="n"/>
      <c r="G756" s="10" t="n"/>
      <c r="H756" s="10" t="n"/>
      <c r="I756" s="11">
        <f>IF(B756="","",DATE(YEAR(B756)+3,12,31))</f>
        <v/>
      </c>
      <c r="J756" s="8" t="n"/>
      <c r="K756" s="9" t="n"/>
      <c r="L756" s="8" t="n"/>
      <c r="M756" s="9" t="n"/>
      <c r="N756" s="8" t="n"/>
      <c r="O756" s="9" t="n"/>
      <c r="P756" s="12">
        <f>IF(C756="","",C756-SUM(K756,M756,O756))</f>
        <v/>
      </c>
      <c r="Q756" s="13">
        <f>IF(A756="","",IF(P756&lt;=0,"eingelöst",IF(AND(I756&lt;&gt;"",TODAY()&gt;I756),"abgelaufen",IF(P756&lt;C756,"teilweise","offen"))))</f>
        <v/>
      </c>
    </row>
    <row r="757">
      <c r="A757" s="7" t="n"/>
      <c r="B757" s="8" t="n"/>
      <c r="C757" s="9" t="n"/>
      <c r="D757" s="10" t="n"/>
      <c r="E757" s="10" t="n"/>
      <c r="F757" s="10" t="n"/>
      <c r="G757" s="10" t="n"/>
      <c r="H757" s="10" t="n"/>
      <c r="I757" s="11">
        <f>IF(B757="","",DATE(YEAR(B757)+3,12,31))</f>
        <v/>
      </c>
      <c r="J757" s="8" t="n"/>
      <c r="K757" s="9" t="n"/>
      <c r="L757" s="8" t="n"/>
      <c r="M757" s="9" t="n"/>
      <c r="N757" s="8" t="n"/>
      <c r="O757" s="9" t="n"/>
      <c r="P757" s="12">
        <f>IF(C757="","",C757-SUM(K757,M757,O757))</f>
        <v/>
      </c>
      <c r="Q757" s="13">
        <f>IF(A757="","",IF(P757&lt;=0,"eingelöst",IF(AND(I757&lt;&gt;"",TODAY()&gt;I757),"abgelaufen",IF(P757&lt;C757,"teilweise","offen"))))</f>
        <v/>
      </c>
    </row>
    <row r="758">
      <c r="A758" s="7" t="n"/>
      <c r="B758" s="8" t="n"/>
      <c r="C758" s="9" t="n"/>
      <c r="D758" s="10" t="n"/>
      <c r="E758" s="10" t="n"/>
      <c r="F758" s="10" t="n"/>
      <c r="G758" s="10" t="n"/>
      <c r="H758" s="10" t="n"/>
      <c r="I758" s="11">
        <f>IF(B758="","",DATE(YEAR(B758)+3,12,31))</f>
        <v/>
      </c>
      <c r="J758" s="8" t="n"/>
      <c r="K758" s="9" t="n"/>
      <c r="L758" s="8" t="n"/>
      <c r="M758" s="9" t="n"/>
      <c r="N758" s="8" t="n"/>
      <c r="O758" s="9" t="n"/>
      <c r="P758" s="12">
        <f>IF(C758="","",C758-SUM(K758,M758,O758))</f>
        <v/>
      </c>
      <c r="Q758" s="13">
        <f>IF(A758="","",IF(P758&lt;=0,"eingelöst",IF(AND(I758&lt;&gt;"",TODAY()&gt;I758),"abgelaufen",IF(P758&lt;C758,"teilweise","offen"))))</f>
        <v/>
      </c>
    </row>
    <row r="759">
      <c r="A759" s="7" t="n"/>
      <c r="B759" s="8" t="n"/>
      <c r="C759" s="9" t="n"/>
      <c r="D759" s="10" t="n"/>
      <c r="E759" s="10" t="n"/>
      <c r="F759" s="10" t="n"/>
      <c r="G759" s="10" t="n"/>
      <c r="H759" s="10" t="n"/>
      <c r="I759" s="11">
        <f>IF(B759="","",DATE(YEAR(B759)+3,12,31))</f>
        <v/>
      </c>
      <c r="J759" s="8" t="n"/>
      <c r="K759" s="9" t="n"/>
      <c r="L759" s="8" t="n"/>
      <c r="M759" s="9" t="n"/>
      <c r="N759" s="8" t="n"/>
      <c r="O759" s="9" t="n"/>
      <c r="P759" s="12">
        <f>IF(C759="","",C759-SUM(K759,M759,O759))</f>
        <v/>
      </c>
      <c r="Q759" s="13">
        <f>IF(A759="","",IF(P759&lt;=0,"eingelöst",IF(AND(I759&lt;&gt;"",TODAY()&gt;I759),"abgelaufen",IF(P759&lt;C759,"teilweise","offen"))))</f>
        <v/>
      </c>
    </row>
    <row r="760">
      <c r="A760" s="7" t="n"/>
      <c r="B760" s="8" t="n"/>
      <c r="C760" s="9" t="n"/>
      <c r="D760" s="10" t="n"/>
      <c r="E760" s="10" t="n"/>
      <c r="F760" s="10" t="n"/>
      <c r="G760" s="10" t="n"/>
      <c r="H760" s="10" t="n"/>
      <c r="I760" s="11">
        <f>IF(B760="","",DATE(YEAR(B760)+3,12,31))</f>
        <v/>
      </c>
      <c r="J760" s="8" t="n"/>
      <c r="K760" s="9" t="n"/>
      <c r="L760" s="8" t="n"/>
      <c r="M760" s="9" t="n"/>
      <c r="N760" s="8" t="n"/>
      <c r="O760" s="9" t="n"/>
      <c r="P760" s="12">
        <f>IF(C760="","",C760-SUM(K760,M760,O760))</f>
        <v/>
      </c>
      <c r="Q760" s="13">
        <f>IF(A760="","",IF(P760&lt;=0,"eingelöst",IF(AND(I760&lt;&gt;"",TODAY()&gt;I760),"abgelaufen",IF(P760&lt;C760,"teilweise","offen"))))</f>
        <v/>
      </c>
    </row>
    <row r="761">
      <c r="A761" s="7" t="n"/>
      <c r="B761" s="8" t="n"/>
      <c r="C761" s="9" t="n"/>
      <c r="D761" s="10" t="n"/>
      <c r="E761" s="10" t="n"/>
      <c r="F761" s="10" t="n"/>
      <c r="G761" s="10" t="n"/>
      <c r="H761" s="10" t="n"/>
      <c r="I761" s="11">
        <f>IF(B761="","",DATE(YEAR(B761)+3,12,31))</f>
        <v/>
      </c>
      <c r="J761" s="8" t="n"/>
      <c r="K761" s="9" t="n"/>
      <c r="L761" s="8" t="n"/>
      <c r="M761" s="9" t="n"/>
      <c r="N761" s="8" t="n"/>
      <c r="O761" s="9" t="n"/>
      <c r="P761" s="12">
        <f>IF(C761="","",C761-SUM(K761,M761,O761))</f>
        <v/>
      </c>
      <c r="Q761" s="13">
        <f>IF(A761="","",IF(P761&lt;=0,"eingelöst",IF(AND(I761&lt;&gt;"",TODAY()&gt;I761),"abgelaufen",IF(P761&lt;C761,"teilweise","offen"))))</f>
        <v/>
      </c>
    </row>
    <row r="762">
      <c r="A762" s="7" t="n"/>
      <c r="B762" s="8" t="n"/>
      <c r="C762" s="9" t="n"/>
      <c r="D762" s="10" t="n"/>
      <c r="E762" s="10" t="n"/>
      <c r="F762" s="10" t="n"/>
      <c r="G762" s="10" t="n"/>
      <c r="H762" s="10" t="n"/>
      <c r="I762" s="11">
        <f>IF(B762="","",DATE(YEAR(B762)+3,12,31))</f>
        <v/>
      </c>
      <c r="J762" s="8" t="n"/>
      <c r="K762" s="9" t="n"/>
      <c r="L762" s="8" t="n"/>
      <c r="M762" s="9" t="n"/>
      <c r="N762" s="8" t="n"/>
      <c r="O762" s="9" t="n"/>
      <c r="P762" s="12">
        <f>IF(C762="","",C762-SUM(K762,M762,O762))</f>
        <v/>
      </c>
      <c r="Q762" s="13">
        <f>IF(A762="","",IF(P762&lt;=0,"eingelöst",IF(AND(I762&lt;&gt;"",TODAY()&gt;I762),"abgelaufen",IF(P762&lt;C762,"teilweise","offen"))))</f>
        <v/>
      </c>
    </row>
    <row r="763">
      <c r="A763" s="7" t="n"/>
      <c r="B763" s="8" t="n"/>
      <c r="C763" s="9" t="n"/>
      <c r="D763" s="10" t="n"/>
      <c r="E763" s="10" t="n"/>
      <c r="F763" s="10" t="n"/>
      <c r="G763" s="10" t="n"/>
      <c r="H763" s="10" t="n"/>
      <c r="I763" s="11">
        <f>IF(B763="","",DATE(YEAR(B763)+3,12,31))</f>
        <v/>
      </c>
      <c r="J763" s="8" t="n"/>
      <c r="K763" s="9" t="n"/>
      <c r="L763" s="8" t="n"/>
      <c r="M763" s="9" t="n"/>
      <c r="N763" s="8" t="n"/>
      <c r="O763" s="9" t="n"/>
      <c r="P763" s="12">
        <f>IF(C763="","",C763-SUM(K763,M763,O763))</f>
        <v/>
      </c>
      <c r="Q763" s="13">
        <f>IF(A763="","",IF(P763&lt;=0,"eingelöst",IF(AND(I763&lt;&gt;"",TODAY()&gt;I763),"abgelaufen",IF(P763&lt;C763,"teilweise","offen"))))</f>
        <v/>
      </c>
    </row>
    <row r="764">
      <c r="A764" s="7" t="n"/>
      <c r="B764" s="8" t="n"/>
      <c r="C764" s="9" t="n"/>
      <c r="D764" s="10" t="n"/>
      <c r="E764" s="10" t="n"/>
      <c r="F764" s="10" t="n"/>
      <c r="G764" s="10" t="n"/>
      <c r="H764" s="10" t="n"/>
      <c r="I764" s="11">
        <f>IF(B764="","",DATE(YEAR(B764)+3,12,31))</f>
        <v/>
      </c>
      <c r="J764" s="8" t="n"/>
      <c r="K764" s="9" t="n"/>
      <c r="L764" s="8" t="n"/>
      <c r="M764" s="9" t="n"/>
      <c r="N764" s="8" t="n"/>
      <c r="O764" s="9" t="n"/>
      <c r="P764" s="12">
        <f>IF(C764="","",C764-SUM(K764,M764,O764))</f>
        <v/>
      </c>
      <c r="Q764" s="13">
        <f>IF(A764="","",IF(P764&lt;=0,"eingelöst",IF(AND(I764&lt;&gt;"",TODAY()&gt;I764),"abgelaufen",IF(P764&lt;C764,"teilweise","offen"))))</f>
        <v/>
      </c>
    </row>
    <row r="765">
      <c r="A765" s="7" t="n"/>
      <c r="B765" s="8" t="n"/>
      <c r="C765" s="9" t="n"/>
      <c r="D765" s="10" t="n"/>
      <c r="E765" s="10" t="n"/>
      <c r="F765" s="10" t="n"/>
      <c r="G765" s="10" t="n"/>
      <c r="H765" s="10" t="n"/>
      <c r="I765" s="11">
        <f>IF(B765="","",DATE(YEAR(B765)+3,12,31))</f>
        <v/>
      </c>
      <c r="J765" s="8" t="n"/>
      <c r="K765" s="9" t="n"/>
      <c r="L765" s="8" t="n"/>
      <c r="M765" s="9" t="n"/>
      <c r="N765" s="8" t="n"/>
      <c r="O765" s="9" t="n"/>
      <c r="P765" s="12">
        <f>IF(C765="","",C765-SUM(K765,M765,O765))</f>
        <v/>
      </c>
      <c r="Q765" s="13">
        <f>IF(A765="","",IF(P765&lt;=0,"eingelöst",IF(AND(I765&lt;&gt;"",TODAY()&gt;I765),"abgelaufen",IF(P765&lt;C765,"teilweise","offen"))))</f>
        <v/>
      </c>
    </row>
    <row r="766">
      <c r="A766" s="7" t="n"/>
      <c r="B766" s="8" t="n"/>
      <c r="C766" s="9" t="n"/>
      <c r="D766" s="10" t="n"/>
      <c r="E766" s="10" t="n"/>
      <c r="F766" s="10" t="n"/>
      <c r="G766" s="10" t="n"/>
      <c r="H766" s="10" t="n"/>
      <c r="I766" s="11">
        <f>IF(B766="","",DATE(YEAR(B766)+3,12,31))</f>
        <v/>
      </c>
      <c r="J766" s="8" t="n"/>
      <c r="K766" s="9" t="n"/>
      <c r="L766" s="8" t="n"/>
      <c r="M766" s="9" t="n"/>
      <c r="N766" s="8" t="n"/>
      <c r="O766" s="9" t="n"/>
      <c r="P766" s="12">
        <f>IF(C766="","",C766-SUM(K766,M766,O766))</f>
        <v/>
      </c>
      <c r="Q766" s="13">
        <f>IF(A766="","",IF(P766&lt;=0,"eingelöst",IF(AND(I766&lt;&gt;"",TODAY()&gt;I766),"abgelaufen",IF(P766&lt;C766,"teilweise","offen"))))</f>
        <v/>
      </c>
    </row>
    <row r="767">
      <c r="A767" s="7" t="n"/>
      <c r="B767" s="8" t="n"/>
      <c r="C767" s="9" t="n"/>
      <c r="D767" s="10" t="n"/>
      <c r="E767" s="10" t="n"/>
      <c r="F767" s="10" t="n"/>
      <c r="G767" s="10" t="n"/>
      <c r="H767" s="10" t="n"/>
      <c r="I767" s="11">
        <f>IF(B767="","",DATE(YEAR(B767)+3,12,31))</f>
        <v/>
      </c>
      <c r="J767" s="8" t="n"/>
      <c r="K767" s="9" t="n"/>
      <c r="L767" s="8" t="n"/>
      <c r="M767" s="9" t="n"/>
      <c r="N767" s="8" t="n"/>
      <c r="O767" s="9" t="n"/>
      <c r="P767" s="12">
        <f>IF(C767="","",C767-SUM(K767,M767,O767))</f>
        <v/>
      </c>
      <c r="Q767" s="13">
        <f>IF(A767="","",IF(P767&lt;=0,"eingelöst",IF(AND(I767&lt;&gt;"",TODAY()&gt;I767),"abgelaufen",IF(P767&lt;C767,"teilweise","offen"))))</f>
        <v/>
      </c>
    </row>
    <row r="768">
      <c r="A768" s="7" t="n"/>
      <c r="B768" s="8" t="n"/>
      <c r="C768" s="9" t="n"/>
      <c r="D768" s="10" t="n"/>
      <c r="E768" s="10" t="n"/>
      <c r="F768" s="10" t="n"/>
      <c r="G768" s="10" t="n"/>
      <c r="H768" s="10" t="n"/>
      <c r="I768" s="11">
        <f>IF(B768="","",DATE(YEAR(B768)+3,12,31))</f>
        <v/>
      </c>
      <c r="J768" s="8" t="n"/>
      <c r="K768" s="9" t="n"/>
      <c r="L768" s="8" t="n"/>
      <c r="M768" s="9" t="n"/>
      <c r="N768" s="8" t="n"/>
      <c r="O768" s="9" t="n"/>
      <c r="P768" s="12">
        <f>IF(C768="","",C768-SUM(K768,M768,O768))</f>
        <v/>
      </c>
      <c r="Q768" s="13">
        <f>IF(A768="","",IF(P768&lt;=0,"eingelöst",IF(AND(I768&lt;&gt;"",TODAY()&gt;I768),"abgelaufen",IF(P768&lt;C768,"teilweise","offen"))))</f>
        <v/>
      </c>
    </row>
    <row r="769">
      <c r="A769" s="7" t="n"/>
      <c r="B769" s="8" t="n"/>
      <c r="C769" s="9" t="n"/>
      <c r="D769" s="10" t="n"/>
      <c r="E769" s="10" t="n"/>
      <c r="F769" s="10" t="n"/>
      <c r="G769" s="10" t="n"/>
      <c r="H769" s="10" t="n"/>
      <c r="I769" s="11">
        <f>IF(B769="","",DATE(YEAR(B769)+3,12,31))</f>
        <v/>
      </c>
      <c r="J769" s="8" t="n"/>
      <c r="K769" s="9" t="n"/>
      <c r="L769" s="8" t="n"/>
      <c r="M769" s="9" t="n"/>
      <c r="N769" s="8" t="n"/>
      <c r="O769" s="9" t="n"/>
      <c r="P769" s="12">
        <f>IF(C769="","",C769-SUM(K769,M769,O769))</f>
        <v/>
      </c>
      <c r="Q769" s="13">
        <f>IF(A769="","",IF(P769&lt;=0,"eingelöst",IF(AND(I769&lt;&gt;"",TODAY()&gt;I769),"abgelaufen",IF(P769&lt;C769,"teilweise","offen"))))</f>
        <v/>
      </c>
    </row>
    <row r="770">
      <c r="A770" s="7" t="n"/>
      <c r="B770" s="8" t="n"/>
      <c r="C770" s="9" t="n"/>
      <c r="D770" s="10" t="n"/>
      <c r="E770" s="10" t="n"/>
      <c r="F770" s="10" t="n"/>
      <c r="G770" s="10" t="n"/>
      <c r="H770" s="10" t="n"/>
      <c r="I770" s="11">
        <f>IF(B770="","",DATE(YEAR(B770)+3,12,31))</f>
        <v/>
      </c>
      <c r="J770" s="8" t="n"/>
      <c r="K770" s="9" t="n"/>
      <c r="L770" s="8" t="n"/>
      <c r="M770" s="9" t="n"/>
      <c r="N770" s="8" t="n"/>
      <c r="O770" s="9" t="n"/>
      <c r="P770" s="12">
        <f>IF(C770="","",C770-SUM(K770,M770,O770))</f>
        <v/>
      </c>
      <c r="Q770" s="13">
        <f>IF(A770="","",IF(P770&lt;=0,"eingelöst",IF(AND(I770&lt;&gt;"",TODAY()&gt;I770),"abgelaufen",IF(P770&lt;C770,"teilweise","offen"))))</f>
        <v/>
      </c>
    </row>
    <row r="771">
      <c r="A771" s="7" t="n"/>
      <c r="B771" s="8" t="n"/>
      <c r="C771" s="9" t="n"/>
      <c r="D771" s="10" t="n"/>
      <c r="E771" s="10" t="n"/>
      <c r="F771" s="10" t="n"/>
      <c r="G771" s="10" t="n"/>
      <c r="H771" s="10" t="n"/>
      <c r="I771" s="11">
        <f>IF(B771="","",DATE(YEAR(B771)+3,12,31))</f>
        <v/>
      </c>
      <c r="J771" s="8" t="n"/>
      <c r="K771" s="9" t="n"/>
      <c r="L771" s="8" t="n"/>
      <c r="M771" s="9" t="n"/>
      <c r="N771" s="8" t="n"/>
      <c r="O771" s="9" t="n"/>
      <c r="P771" s="12">
        <f>IF(C771="","",C771-SUM(K771,M771,O771))</f>
        <v/>
      </c>
      <c r="Q771" s="13">
        <f>IF(A771="","",IF(P771&lt;=0,"eingelöst",IF(AND(I771&lt;&gt;"",TODAY()&gt;I771),"abgelaufen",IF(P771&lt;C771,"teilweise","offen"))))</f>
        <v/>
      </c>
    </row>
    <row r="772">
      <c r="A772" s="7" t="n"/>
      <c r="B772" s="8" t="n"/>
      <c r="C772" s="9" t="n"/>
      <c r="D772" s="10" t="n"/>
      <c r="E772" s="10" t="n"/>
      <c r="F772" s="10" t="n"/>
      <c r="G772" s="10" t="n"/>
      <c r="H772" s="10" t="n"/>
      <c r="I772" s="11">
        <f>IF(B772="","",DATE(YEAR(B772)+3,12,31))</f>
        <v/>
      </c>
      <c r="J772" s="8" t="n"/>
      <c r="K772" s="9" t="n"/>
      <c r="L772" s="8" t="n"/>
      <c r="M772" s="9" t="n"/>
      <c r="N772" s="8" t="n"/>
      <c r="O772" s="9" t="n"/>
      <c r="P772" s="12">
        <f>IF(C772="","",C772-SUM(K772,M772,O772))</f>
        <v/>
      </c>
      <c r="Q772" s="13">
        <f>IF(A772="","",IF(P772&lt;=0,"eingelöst",IF(AND(I772&lt;&gt;"",TODAY()&gt;I772),"abgelaufen",IF(P772&lt;C772,"teilweise","offen"))))</f>
        <v/>
      </c>
    </row>
    <row r="773">
      <c r="A773" s="7" t="n"/>
      <c r="B773" s="8" t="n"/>
      <c r="C773" s="9" t="n"/>
      <c r="D773" s="10" t="n"/>
      <c r="E773" s="10" t="n"/>
      <c r="F773" s="10" t="n"/>
      <c r="G773" s="10" t="n"/>
      <c r="H773" s="10" t="n"/>
      <c r="I773" s="11">
        <f>IF(B773="","",DATE(YEAR(B773)+3,12,31))</f>
        <v/>
      </c>
      <c r="J773" s="8" t="n"/>
      <c r="K773" s="9" t="n"/>
      <c r="L773" s="8" t="n"/>
      <c r="M773" s="9" t="n"/>
      <c r="N773" s="8" t="n"/>
      <c r="O773" s="9" t="n"/>
      <c r="P773" s="12">
        <f>IF(C773="","",C773-SUM(K773,M773,O773))</f>
        <v/>
      </c>
      <c r="Q773" s="13">
        <f>IF(A773="","",IF(P773&lt;=0,"eingelöst",IF(AND(I773&lt;&gt;"",TODAY()&gt;I773),"abgelaufen",IF(P773&lt;C773,"teilweise","offen"))))</f>
        <v/>
      </c>
    </row>
    <row r="774">
      <c r="A774" s="7" t="n"/>
      <c r="B774" s="8" t="n"/>
      <c r="C774" s="9" t="n"/>
      <c r="D774" s="10" t="n"/>
      <c r="E774" s="10" t="n"/>
      <c r="F774" s="10" t="n"/>
      <c r="G774" s="10" t="n"/>
      <c r="H774" s="10" t="n"/>
      <c r="I774" s="11">
        <f>IF(B774="","",DATE(YEAR(B774)+3,12,31))</f>
        <v/>
      </c>
      <c r="J774" s="8" t="n"/>
      <c r="K774" s="9" t="n"/>
      <c r="L774" s="8" t="n"/>
      <c r="M774" s="9" t="n"/>
      <c r="N774" s="8" t="n"/>
      <c r="O774" s="9" t="n"/>
      <c r="P774" s="12">
        <f>IF(C774="","",C774-SUM(K774,M774,O774))</f>
        <v/>
      </c>
      <c r="Q774" s="13">
        <f>IF(A774="","",IF(P774&lt;=0,"eingelöst",IF(AND(I774&lt;&gt;"",TODAY()&gt;I774),"abgelaufen",IF(P774&lt;C774,"teilweise","offen"))))</f>
        <v/>
      </c>
    </row>
    <row r="775">
      <c r="A775" s="7" t="n"/>
      <c r="B775" s="8" t="n"/>
      <c r="C775" s="9" t="n"/>
      <c r="D775" s="10" t="n"/>
      <c r="E775" s="10" t="n"/>
      <c r="F775" s="10" t="n"/>
      <c r="G775" s="10" t="n"/>
      <c r="H775" s="10" t="n"/>
      <c r="I775" s="11">
        <f>IF(B775="","",DATE(YEAR(B775)+3,12,31))</f>
        <v/>
      </c>
      <c r="J775" s="8" t="n"/>
      <c r="K775" s="9" t="n"/>
      <c r="L775" s="8" t="n"/>
      <c r="M775" s="9" t="n"/>
      <c r="N775" s="8" t="n"/>
      <c r="O775" s="9" t="n"/>
      <c r="P775" s="12">
        <f>IF(C775="","",C775-SUM(K775,M775,O775))</f>
        <v/>
      </c>
      <c r="Q775" s="13">
        <f>IF(A775="","",IF(P775&lt;=0,"eingelöst",IF(AND(I775&lt;&gt;"",TODAY()&gt;I775),"abgelaufen",IF(P775&lt;C775,"teilweise","offen"))))</f>
        <v/>
      </c>
    </row>
    <row r="776">
      <c r="A776" s="7" t="n"/>
      <c r="B776" s="8" t="n"/>
      <c r="C776" s="9" t="n"/>
      <c r="D776" s="10" t="n"/>
      <c r="E776" s="10" t="n"/>
      <c r="F776" s="10" t="n"/>
      <c r="G776" s="10" t="n"/>
      <c r="H776" s="10" t="n"/>
      <c r="I776" s="11">
        <f>IF(B776="","",DATE(YEAR(B776)+3,12,31))</f>
        <v/>
      </c>
      <c r="J776" s="8" t="n"/>
      <c r="K776" s="9" t="n"/>
      <c r="L776" s="8" t="n"/>
      <c r="M776" s="9" t="n"/>
      <c r="N776" s="8" t="n"/>
      <c r="O776" s="9" t="n"/>
      <c r="P776" s="12">
        <f>IF(C776="","",C776-SUM(K776,M776,O776))</f>
        <v/>
      </c>
      <c r="Q776" s="13">
        <f>IF(A776="","",IF(P776&lt;=0,"eingelöst",IF(AND(I776&lt;&gt;"",TODAY()&gt;I776),"abgelaufen",IF(P776&lt;C776,"teilweise","offen"))))</f>
        <v/>
      </c>
    </row>
    <row r="777">
      <c r="A777" s="7" t="n"/>
      <c r="B777" s="8" t="n"/>
      <c r="C777" s="9" t="n"/>
      <c r="D777" s="10" t="n"/>
      <c r="E777" s="10" t="n"/>
      <c r="F777" s="10" t="n"/>
      <c r="G777" s="10" t="n"/>
      <c r="H777" s="10" t="n"/>
      <c r="I777" s="11">
        <f>IF(B777="","",DATE(YEAR(B777)+3,12,31))</f>
        <v/>
      </c>
      <c r="J777" s="8" t="n"/>
      <c r="K777" s="9" t="n"/>
      <c r="L777" s="8" t="n"/>
      <c r="M777" s="9" t="n"/>
      <c r="N777" s="8" t="n"/>
      <c r="O777" s="9" t="n"/>
      <c r="P777" s="12">
        <f>IF(C777="","",C777-SUM(K777,M777,O777))</f>
        <v/>
      </c>
      <c r="Q777" s="13">
        <f>IF(A777="","",IF(P777&lt;=0,"eingelöst",IF(AND(I777&lt;&gt;"",TODAY()&gt;I777),"abgelaufen",IF(P777&lt;C777,"teilweise","offen"))))</f>
        <v/>
      </c>
    </row>
    <row r="778">
      <c r="A778" s="7" t="n"/>
      <c r="B778" s="8" t="n"/>
      <c r="C778" s="9" t="n"/>
      <c r="D778" s="10" t="n"/>
      <c r="E778" s="10" t="n"/>
      <c r="F778" s="10" t="n"/>
      <c r="G778" s="10" t="n"/>
      <c r="H778" s="10" t="n"/>
      <c r="I778" s="11">
        <f>IF(B778="","",DATE(YEAR(B778)+3,12,31))</f>
        <v/>
      </c>
      <c r="J778" s="8" t="n"/>
      <c r="K778" s="9" t="n"/>
      <c r="L778" s="8" t="n"/>
      <c r="M778" s="9" t="n"/>
      <c r="N778" s="8" t="n"/>
      <c r="O778" s="9" t="n"/>
      <c r="P778" s="12">
        <f>IF(C778="","",C778-SUM(K778,M778,O778))</f>
        <v/>
      </c>
      <c r="Q778" s="13">
        <f>IF(A778="","",IF(P778&lt;=0,"eingelöst",IF(AND(I778&lt;&gt;"",TODAY()&gt;I778),"abgelaufen",IF(P778&lt;C778,"teilweise","offen"))))</f>
        <v/>
      </c>
    </row>
    <row r="779">
      <c r="A779" s="7" t="n"/>
      <c r="B779" s="8" t="n"/>
      <c r="C779" s="9" t="n"/>
      <c r="D779" s="10" t="n"/>
      <c r="E779" s="10" t="n"/>
      <c r="F779" s="10" t="n"/>
      <c r="G779" s="10" t="n"/>
      <c r="H779" s="10" t="n"/>
      <c r="I779" s="11">
        <f>IF(B779="","",DATE(YEAR(B779)+3,12,31))</f>
        <v/>
      </c>
      <c r="J779" s="8" t="n"/>
      <c r="K779" s="9" t="n"/>
      <c r="L779" s="8" t="n"/>
      <c r="M779" s="9" t="n"/>
      <c r="N779" s="8" t="n"/>
      <c r="O779" s="9" t="n"/>
      <c r="P779" s="12">
        <f>IF(C779="","",C779-SUM(K779,M779,O779))</f>
        <v/>
      </c>
      <c r="Q779" s="13">
        <f>IF(A779="","",IF(P779&lt;=0,"eingelöst",IF(AND(I779&lt;&gt;"",TODAY()&gt;I779),"abgelaufen",IF(P779&lt;C779,"teilweise","offen"))))</f>
        <v/>
      </c>
    </row>
    <row r="780">
      <c r="A780" s="7" t="n"/>
      <c r="B780" s="8" t="n"/>
      <c r="C780" s="9" t="n"/>
      <c r="D780" s="10" t="n"/>
      <c r="E780" s="10" t="n"/>
      <c r="F780" s="10" t="n"/>
      <c r="G780" s="10" t="n"/>
      <c r="H780" s="10" t="n"/>
      <c r="I780" s="11">
        <f>IF(B780="","",DATE(YEAR(B780)+3,12,31))</f>
        <v/>
      </c>
      <c r="J780" s="8" t="n"/>
      <c r="K780" s="9" t="n"/>
      <c r="L780" s="8" t="n"/>
      <c r="M780" s="9" t="n"/>
      <c r="N780" s="8" t="n"/>
      <c r="O780" s="9" t="n"/>
      <c r="P780" s="12">
        <f>IF(C780="","",C780-SUM(K780,M780,O780))</f>
        <v/>
      </c>
      <c r="Q780" s="13">
        <f>IF(A780="","",IF(P780&lt;=0,"eingelöst",IF(AND(I780&lt;&gt;"",TODAY()&gt;I780),"abgelaufen",IF(P780&lt;C780,"teilweise","offen"))))</f>
        <v/>
      </c>
    </row>
    <row r="781">
      <c r="A781" s="7" t="n"/>
      <c r="B781" s="8" t="n"/>
      <c r="C781" s="9" t="n"/>
      <c r="D781" s="10" t="n"/>
      <c r="E781" s="10" t="n"/>
      <c r="F781" s="10" t="n"/>
      <c r="G781" s="10" t="n"/>
      <c r="H781" s="10" t="n"/>
      <c r="I781" s="11">
        <f>IF(B781="","",DATE(YEAR(B781)+3,12,31))</f>
        <v/>
      </c>
      <c r="J781" s="8" t="n"/>
      <c r="K781" s="9" t="n"/>
      <c r="L781" s="8" t="n"/>
      <c r="M781" s="9" t="n"/>
      <c r="N781" s="8" t="n"/>
      <c r="O781" s="9" t="n"/>
      <c r="P781" s="12">
        <f>IF(C781="","",C781-SUM(K781,M781,O781))</f>
        <v/>
      </c>
      <c r="Q781" s="13">
        <f>IF(A781="","",IF(P781&lt;=0,"eingelöst",IF(AND(I781&lt;&gt;"",TODAY()&gt;I781),"abgelaufen",IF(P781&lt;C781,"teilweise","offen"))))</f>
        <v/>
      </c>
    </row>
    <row r="782">
      <c r="A782" s="7" t="n"/>
      <c r="B782" s="8" t="n"/>
      <c r="C782" s="9" t="n"/>
      <c r="D782" s="10" t="n"/>
      <c r="E782" s="10" t="n"/>
      <c r="F782" s="10" t="n"/>
      <c r="G782" s="10" t="n"/>
      <c r="H782" s="10" t="n"/>
      <c r="I782" s="11">
        <f>IF(B782="","",DATE(YEAR(B782)+3,12,31))</f>
        <v/>
      </c>
      <c r="J782" s="8" t="n"/>
      <c r="K782" s="9" t="n"/>
      <c r="L782" s="8" t="n"/>
      <c r="M782" s="9" t="n"/>
      <c r="N782" s="8" t="n"/>
      <c r="O782" s="9" t="n"/>
      <c r="P782" s="12">
        <f>IF(C782="","",C782-SUM(K782,M782,O782))</f>
        <v/>
      </c>
      <c r="Q782" s="13">
        <f>IF(A782="","",IF(P782&lt;=0,"eingelöst",IF(AND(I782&lt;&gt;"",TODAY()&gt;I782),"abgelaufen",IF(P782&lt;C782,"teilweise","offen"))))</f>
        <v/>
      </c>
    </row>
    <row r="783">
      <c r="A783" s="7" t="n"/>
      <c r="B783" s="8" t="n"/>
      <c r="C783" s="9" t="n"/>
      <c r="D783" s="10" t="n"/>
      <c r="E783" s="10" t="n"/>
      <c r="F783" s="10" t="n"/>
      <c r="G783" s="10" t="n"/>
      <c r="H783" s="10" t="n"/>
      <c r="I783" s="11">
        <f>IF(B783="","",DATE(YEAR(B783)+3,12,31))</f>
        <v/>
      </c>
      <c r="J783" s="8" t="n"/>
      <c r="K783" s="9" t="n"/>
      <c r="L783" s="8" t="n"/>
      <c r="M783" s="9" t="n"/>
      <c r="N783" s="8" t="n"/>
      <c r="O783" s="9" t="n"/>
      <c r="P783" s="12">
        <f>IF(C783="","",C783-SUM(K783,M783,O783))</f>
        <v/>
      </c>
      <c r="Q783" s="13">
        <f>IF(A783="","",IF(P783&lt;=0,"eingelöst",IF(AND(I783&lt;&gt;"",TODAY()&gt;I783),"abgelaufen",IF(P783&lt;C783,"teilweise","offen"))))</f>
        <v/>
      </c>
    </row>
    <row r="784">
      <c r="A784" s="7" t="n"/>
      <c r="B784" s="8" t="n"/>
      <c r="C784" s="9" t="n"/>
      <c r="D784" s="10" t="n"/>
      <c r="E784" s="10" t="n"/>
      <c r="F784" s="10" t="n"/>
      <c r="G784" s="10" t="n"/>
      <c r="H784" s="10" t="n"/>
      <c r="I784" s="11">
        <f>IF(B784="","",DATE(YEAR(B784)+3,12,31))</f>
        <v/>
      </c>
      <c r="J784" s="8" t="n"/>
      <c r="K784" s="9" t="n"/>
      <c r="L784" s="8" t="n"/>
      <c r="M784" s="9" t="n"/>
      <c r="N784" s="8" t="n"/>
      <c r="O784" s="9" t="n"/>
      <c r="P784" s="12">
        <f>IF(C784="","",C784-SUM(K784,M784,O784))</f>
        <v/>
      </c>
      <c r="Q784" s="13">
        <f>IF(A784="","",IF(P784&lt;=0,"eingelöst",IF(AND(I784&lt;&gt;"",TODAY()&gt;I784),"abgelaufen",IF(P784&lt;C784,"teilweise","offen"))))</f>
        <v/>
      </c>
    </row>
    <row r="785">
      <c r="A785" s="7" t="n"/>
      <c r="B785" s="8" t="n"/>
      <c r="C785" s="9" t="n"/>
      <c r="D785" s="10" t="n"/>
      <c r="E785" s="10" t="n"/>
      <c r="F785" s="10" t="n"/>
      <c r="G785" s="10" t="n"/>
      <c r="H785" s="10" t="n"/>
      <c r="I785" s="11">
        <f>IF(B785="","",DATE(YEAR(B785)+3,12,31))</f>
        <v/>
      </c>
      <c r="J785" s="8" t="n"/>
      <c r="K785" s="9" t="n"/>
      <c r="L785" s="8" t="n"/>
      <c r="M785" s="9" t="n"/>
      <c r="N785" s="8" t="n"/>
      <c r="O785" s="9" t="n"/>
      <c r="P785" s="12">
        <f>IF(C785="","",C785-SUM(K785,M785,O785))</f>
        <v/>
      </c>
      <c r="Q785" s="13">
        <f>IF(A785="","",IF(P785&lt;=0,"eingelöst",IF(AND(I785&lt;&gt;"",TODAY()&gt;I785),"abgelaufen",IF(P785&lt;C785,"teilweise","offen"))))</f>
        <v/>
      </c>
    </row>
    <row r="786">
      <c r="A786" s="7" t="n"/>
      <c r="B786" s="8" t="n"/>
      <c r="C786" s="9" t="n"/>
      <c r="D786" s="10" t="n"/>
      <c r="E786" s="10" t="n"/>
      <c r="F786" s="10" t="n"/>
      <c r="G786" s="10" t="n"/>
      <c r="H786" s="10" t="n"/>
      <c r="I786" s="11">
        <f>IF(B786="","",DATE(YEAR(B786)+3,12,31))</f>
        <v/>
      </c>
      <c r="J786" s="8" t="n"/>
      <c r="K786" s="9" t="n"/>
      <c r="L786" s="8" t="n"/>
      <c r="M786" s="9" t="n"/>
      <c r="N786" s="8" t="n"/>
      <c r="O786" s="9" t="n"/>
      <c r="P786" s="12">
        <f>IF(C786="","",C786-SUM(K786,M786,O786))</f>
        <v/>
      </c>
      <c r="Q786" s="13">
        <f>IF(A786="","",IF(P786&lt;=0,"eingelöst",IF(AND(I786&lt;&gt;"",TODAY()&gt;I786),"abgelaufen",IF(P786&lt;C786,"teilweise","offen"))))</f>
        <v/>
      </c>
    </row>
    <row r="787">
      <c r="A787" s="7" t="n"/>
      <c r="B787" s="8" t="n"/>
      <c r="C787" s="9" t="n"/>
      <c r="D787" s="10" t="n"/>
      <c r="E787" s="10" t="n"/>
      <c r="F787" s="10" t="n"/>
      <c r="G787" s="10" t="n"/>
      <c r="H787" s="10" t="n"/>
      <c r="I787" s="11">
        <f>IF(B787="","",DATE(YEAR(B787)+3,12,31))</f>
        <v/>
      </c>
      <c r="J787" s="8" t="n"/>
      <c r="K787" s="9" t="n"/>
      <c r="L787" s="8" t="n"/>
      <c r="M787" s="9" t="n"/>
      <c r="N787" s="8" t="n"/>
      <c r="O787" s="9" t="n"/>
      <c r="P787" s="12">
        <f>IF(C787="","",C787-SUM(K787,M787,O787))</f>
        <v/>
      </c>
      <c r="Q787" s="13">
        <f>IF(A787="","",IF(P787&lt;=0,"eingelöst",IF(AND(I787&lt;&gt;"",TODAY()&gt;I787),"abgelaufen",IF(P787&lt;C787,"teilweise","offen"))))</f>
        <v/>
      </c>
    </row>
    <row r="788">
      <c r="A788" s="7" t="n"/>
      <c r="B788" s="8" t="n"/>
      <c r="C788" s="9" t="n"/>
      <c r="D788" s="10" t="n"/>
      <c r="E788" s="10" t="n"/>
      <c r="F788" s="10" t="n"/>
      <c r="G788" s="10" t="n"/>
      <c r="H788" s="10" t="n"/>
      <c r="I788" s="11">
        <f>IF(B788="","",DATE(YEAR(B788)+3,12,31))</f>
        <v/>
      </c>
      <c r="J788" s="8" t="n"/>
      <c r="K788" s="9" t="n"/>
      <c r="L788" s="8" t="n"/>
      <c r="M788" s="9" t="n"/>
      <c r="N788" s="8" t="n"/>
      <c r="O788" s="9" t="n"/>
      <c r="P788" s="12">
        <f>IF(C788="","",C788-SUM(K788,M788,O788))</f>
        <v/>
      </c>
      <c r="Q788" s="13">
        <f>IF(A788="","",IF(P788&lt;=0,"eingelöst",IF(AND(I788&lt;&gt;"",TODAY()&gt;I788),"abgelaufen",IF(P788&lt;C788,"teilweise","offen"))))</f>
        <v/>
      </c>
    </row>
    <row r="789">
      <c r="A789" s="7" t="n"/>
      <c r="B789" s="8" t="n"/>
      <c r="C789" s="9" t="n"/>
      <c r="D789" s="10" t="n"/>
      <c r="E789" s="10" t="n"/>
      <c r="F789" s="10" t="n"/>
      <c r="G789" s="10" t="n"/>
      <c r="H789" s="10" t="n"/>
      <c r="I789" s="11">
        <f>IF(B789="","",DATE(YEAR(B789)+3,12,31))</f>
        <v/>
      </c>
      <c r="J789" s="8" t="n"/>
      <c r="K789" s="9" t="n"/>
      <c r="L789" s="8" t="n"/>
      <c r="M789" s="9" t="n"/>
      <c r="N789" s="8" t="n"/>
      <c r="O789" s="9" t="n"/>
      <c r="P789" s="12">
        <f>IF(C789="","",C789-SUM(K789,M789,O789))</f>
        <v/>
      </c>
      <c r="Q789" s="13">
        <f>IF(A789="","",IF(P789&lt;=0,"eingelöst",IF(AND(I789&lt;&gt;"",TODAY()&gt;I789),"abgelaufen",IF(P789&lt;C789,"teilweise","offen"))))</f>
        <v/>
      </c>
    </row>
    <row r="790">
      <c r="A790" s="7" t="n"/>
      <c r="B790" s="8" t="n"/>
      <c r="C790" s="9" t="n"/>
      <c r="D790" s="10" t="n"/>
      <c r="E790" s="10" t="n"/>
      <c r="F790" s="10" t="n"/>
      <c r="G790" s="10" t="n"/>
      <c r="H790" s="10" t="n"/>
      <c r="I790" s="11">
        <f>IF(B790="","",DATE(YEAR(B790)+3,12,31))</f>
        <v/>
      </c>
      <c r="J790" s="8" t="n"/>
      <c r="K790" s="9" t="n"/>
      <c r="L790" s="8" t="n"/>
      <c r="M790" s="9" t="n"/>
      <c r="N790" s="8" t="n"/>
      <c r="O790" s="9" t="n"/>
      <c r="P790" s="12">
        <f>IF(C790="","",C790-SUM(K790,M790,O790))</f>
        <v/>
      </c>
      <c r="Q790" s="13">
        <f>IF(A790="","",IF(P790&lt;=0,"eingelöst",IF(AND(I790&lt;&gt;"",TODAY()&gt;I790),"abgelaufen",IF(P790&lt;C790,"teilweise","offen"))))</f>
        <v/>
      </c>
    </row>
    <row r="791">
      <c r="A791" s="7" t="n"/>
      <c r="B791" s="8" t="n"/>
      <c r="C791" s="9" t="n"/>
      <c r="D791" s="10" t="n"/>
      <c r="E791" s="10" t="n"/>
      <c r="F791" s="10" t="n"/>
      <c r="G791" s="10" t="n"/>
      <c r="H791" s="10" t="n"/>
      <c r="I791" s="11">
        <f>IF(B791="","",DATE(YEAR(B791)+3,12,31))</f>
        <v/>
      </c>
      <c r="J791" s="8" t="n"/>
      <c r="K791" s="9" t="n"/>
      <c r="L791" s="8" t="n"/>
      <c r="M791" s="9" t="n"/>
      <c r="N791" s="8" t="n"/>
      <c r="O791" s="9" t="n"/>
      <c r="P791" s="12">
        <f>IF(C791="","",C791-SUM(K791,M791,O791))</f>
        <v/>
      </c>
      <c r="Q791" s="13">
        <f>IF(A791="","",IF(P791&lt;=0,"eingelöst",IF(AND(I791&lt;&gt;"",TODAY()&gt;I791),"abgelaufen",IF(P791&lt;C791,"teilweise","offen"))))</f>
        <v/>
      </c>
    </row>
    <row r="792">
      <c r="A792" s="7" t="n"/>
      <c r="B792" s="8" t="n"/>
      <c r="C792" s="9" t="n"/>
      <c r="D792" s="10" t="n"/>
      <c r="E792" s="10" t="n"/>
      <c r="F792" s="10" t="n"/>
      <c r="G792" s="10" t="n"/>
      <c r="H792" s="10" t="n"/>
      <c r="I792" s="11">
        <f>IF(B792="","",DATE(YEAR(B792)+3,12,31))</f>
        <v/>
      </c>
      <c r="J792" s="8" t="n"/>
      <c r="K792" s="9" t="n"/>
      <c r="L792" s="8" t="n"/>
      <c r="M792" s="9" t="n"/>
      <c r="N792" s="8" t="n"/>
      <c r="O792" s="9" t="n"/>
      <c r="P792" s="12">
        <f>IF(C792="","",C792-SUM(K792,M792,O792))</f>
        <v/>
      </c>
      <c r="Q792" s="13">
        <f>IF(A792="","",IF(P792&lt;=0,"eingelöst",IF(AND(I792&lt;&gt;"",TODAY()&gt;I792),"abgelaufen",IF(P792&lt;C792,"teilweise","offen"))))</f>
        <v/>
      </c>
    </row>
    <row r="793">
      <c r="A793" s="7" t="n"/>
      <c r="B793" s="8" t="n"/>
      <c r="C793" s="9" t="n"/>
      <c r="D793" s="10" t="n"/>
      <c r="E793" s="10" t="n"/>
      <c r="F793" s="10" t="n"/>
      <c r="G793" s="10" t="n"/>
      <c r="H793" s="10" t="n"/>
      <c r="I793" s="11">
        <f>IF(B793="","",DATE(YEAR(B793)+3,12,31))</f>
        <v/>
      </c>
      <c r="J793" s="8" t="n"/>
      <c r="K793" s="9" t="n"/>
      <c r="L793" s="8" t="n"/>
      <c r="M793" s="9" t="n"/>
      <c r="N793" s="8" t="n"/>
      <c r="O793" s="9" t="n"/>
      <c r="P793" s="12">
        <f>IF(C793="","",C793-SUM(K793,M793,O793))</f>
        <v/>
      </c>
      <c r="Q793" s="13">
        <f>IF(A793="","",IF(P793&lt;=0,"eingelöst",IF(AND(I793&lt;&gt;"",TODAY()&gt;I793),"abgelaufen",IF(P793&lt;C793,"teilweise","offen"))))</f>
        <v/>
      </c>
    </row>
    <row r="794">
      <c r="A794" s="7" t="n"/>
      <c r="B794" s="8" t="n"/>
      <c r="C794" s="9" t="n"/>
      <c r="D794" s="10" t="n"/>
      <c r="E794" s="10" t="n"/>
      <c r="F794" s="10" t="n"/>
      <c r="G794" s="10" t="n"/>
      <c r="H794" s="10" t="n"/>
      <c r="I794" s="11">
        <f>IF(B794="","",DATE(YEAR(B794)+3,12,31))</f>
        <v/>
      </c>
      <c r="J794" s="8" t="n"/>
      <c r="K794" s="9" t="n"/>
      <c r="L794" s="8" t="n"/>
      <c r="M794" s="9" t="n"/>
      <c r="N794" s="8" t="n"/>
      <c r="O794" s="9" t="n"/>
      <c r="P794" s="12">
        <f>IF(C794="","",C794-SUM(K794,M794,O794))</f>
        <v/>
      </c>
      <c r="Q794" s="13">
        <f>IF(A794="","",IF(P794&lt;=0,"eingelöst",IF(AND(I794&lt;&gt;"",TODAY()&gt;I794),"abgelaufen",IF(P794&lt;C794,"teilweise","offen"))))</f>
        <v/>
      </c>
    </row>
    <row r="795">
      <c r="A795" s="7" t="n"/>
      <c r="B795" s="8" t="n"/>
      <c r="C795" s="9" t="n"/>
      <c r="D795" s="10" t="n"/>
      <c r="E795" s="10" t="n"/>
      <c r="F795" s="10" t="n"/>
      <c r="G795" s="10" t="n"/>
      <c r="H795" s="10" t="n"/>
      <c r="I795" s="11">
        <f>IF(B795="","",DATE(YEAR(B795)+3,12,31))</f>
        <v/>
      </c>
      <c r="J795" s="8" t="n"/>
      <c r="K795" s="9" t="n"/>
      <c r="L795" s="8" t="n"/>
      <c r="M795" s="9" t="n"/>
      <c r="N795" s="8" t="n"/>
      <c r="O795" s="9" t="n"/>
      <c r="P795" s="12">
        <f>IF(C795="","",C795-SUM(K795,M795,O795))</f>
        <v/>
      </c>
      <c r="Q795" s="13">
        <f>IF(A795="","",IF(P795&lt;=0,"eingelöst",IF(AND(I795&lt;&gt;"",TODAY()&gt;I795),"abgelaufen",IF(P795&lt;C795,"teilweise","offen"))))</f>
        <v/>
      </c>
    </row>
    <row r="796">
      <c r="A796" s="7" t="n"/>
      <c r="B796" s="8" t="n"/>
      <c r="C796" s="9" t="n"/>
      <c r="D796" s="10" t="n"/>
      <c r="E796" s="10" t="n"/>
      <c r="F796" s="10" t="n"/>
      <c r="G796" s="10" t="n"/>
      <c r="H796" s="10" t="n"/>
      <c r="I796" s="11">
        <f>IF(B796="","",DATE(YEAR(B796)+3,12,31))</f>
        <v/>
      </c>
      <c r="J796" s="8" t="n"/>
      <c r="K796" s="9" t="n"/>
      <c r="L796" s="8" t="n"/>
      <c r="M796" s="9" t="n"/>
      <c r="N796" s="8" t="n"/>
      <c r="O796" s="9" t="n"/>
      <c r="P796" s="12">
        <f>IF(C796="","",C796-SUM(K796,M796,O796))</f>
        <v/>
      </c>
      <c r="Q796" s="13">
        <f>IF(A796="","",IF(P796&lt;=0,"eingelöst",IF(AND(I796&lt;&gt;"",TODAY()&gt;I796),"abgelaufen",IF(P796&lt;C796,"teilweise","offen"))))</f>
        <v/>
      </c>
    </row>
    <row r="797">
      <c r="A797" s="7" t="n"/>
      <c r="B797" s="8" t="n"/>
      <c r="C797" s="9" t="n"/>
      <c r="D797" s="10" t="n"/>
      <c r="E797" s="10" t="n"/>
      <c r="F797" s="10" t="n"/>
      <c r="G797" s="10" t="n"/>
      <c r="H797" s="10" t="n"/>
      <c r="I797" s="11">
        <f>IF(B797="","",DATE(YEAR(B797)+3,12,31))</f>
        <v/>
      </c>
      <c r="J797" s="8" t="n"/>
      <c r="K797" s="9" t="n"/>
      <c r="L797" s="8" t="n"/>
      <c r="M797" s="9" t="n"/>
      <c r="N797" s="8" t="n"/>
      <c r="O797" s="9" t="n"/>
      <c r="P797" s="12">
        <f>IF(C797="","",C797-SUM(K797,M797,O797))</f>
        <v/>
      </c>
      <c r="Q797" s="13">
        <f>IF(A797="","",IF(P797&lt;=0,"eingelöst",IF(AND(I797&lt;&gt;"",TODAY()&gt;I797),"abgelaufen",IF(P797&lt;C797,"teilweise","offen"))))</f>
        <v/>
      </c>
    </row>
    <row r="798">
      <c r="A798" s="7" t="n"/>
      <c r="B798" s="8" t="n"/>
      <c r="C798" s="9" t="n"/>
      <c r="D798" s="10" t="n"/>
      <c r="E798" s="10" t="n"/>
      <c r="F798" s="10" t="n"/>
      <c r="G798" s="10" t="n"/>
      <c r="H798" s="10" t="n"/>
      <c r="I798" s="11">
        <f>IF(B798="","",DATE(YEAR(B798)+3,12,31))</f>
        <v/>
      </c>
      <c r="J798" s="8" t="n"/>
      <c r="K798" s="9" t="n"/>
      <c r="L798" s="8" t="n"/>
      <c r="M798" s="9" t="n"/>
      <c r="N798" s="8" t="n"/>
      <c r="O798" s="9" t="n"/>
      <c r="P798" s="12">
        <f>IF(C798="","",C798-SUM(K798,M798,O798))</f>
        <v/>
      </c>
      <c r="Q798" s="13">
        <f>IF(A798="","",IF(P798&lt;=0,"eingelöst",IF(AND(I798&lt;&gt;"",TODAY()&gt;I798),"abgelaufen",IF(P798&lt;C798,"teilweise","offen"))))</f>
        <v/>
      </c>
    </row>
    <row r="799">
      <c r="A799" s="7" t="n"/>
      <c r="B799" s="8" t="n"/>
      <c r="C799" s="9" t="n"/>
      <c r="D799" s="10" t="n"/>
      <c r="E799" s="10" t="n"/>
      <c r="F799" s="10" t="n"/>
      <c r="G799" s="10" t="n"/>
      <c r="H799" s="10" t="n"/>
      <c r="I799" s="11">
        <f>IF(B799="","",DATE(YEAR(B799)+3,12,31))</f>
        <v/>
      </c>
      <c r="J799" s="8" t="n"/>
      <c r="K799" s="9" t="n"/>
      <c r="L799" s="8" t="n"/>
      <c r="M799" s="9" t="n"/>
      <c r="N799" s="8" t="n"/>
      <c r="O799" s="9" t="n"/>
      <c r="P799" s="12">
        <f>IF(C799="","",C799-SUM(K799,M799,O799))</f>
        <v/>
      </c>
      <c r="Q799" s="13">
        <f>IF(A799="","",IF(P799&lt;=0,"eingelöst",IF(AND(I799&lt;&gt;"",TODAY()&gt;I799),"abgelaufen",IF(P799&lt;C799,"teilweise","offen"))))</f>
        <v/>
      </c>
    </row>
    <row r="800">
      <c r="A800" s="7" t="n"/>
      <c r="B800" s="8" t="n"/>
      <c r="C800" s="9" t="n"/>
      <c r="D800" s="10" t="n"/>
      <c r="E800" s="10" t="n"/>
      <c r="F800" s="10" t="n"/>
      <c r="G800" s="10" t="n"/>
      <c r="H800" s="10" t="n"/>
      <c r="I800" s="11">
        <f>IF(B800="","",DATE(YEAR(B800)+3,12,31))</f>
        <v/>
      </c>
      <c r="J800" s="8" t="n"/>
      <c r="K800" s="9" t="n"/>
      <c r="L800" s="8" t="n"/>
      <c r="M800" s="9" t="n"/>
      <c r="N800" s="8" t="n"/>
      <c r="O800" s="9" t="n"/>
      <c r="P800" s="12">
        <f>IF(C800="","",C800-SUM(K800,M800,O800))</f>
        <v/>
      </c>
      <c r="Q800" s="13">
        <f>IF(A800="","",IF(P800&lt;=0,"eingelöst",IF(AND(I800&lt;&gt;"",TODAY()&gt;I800),"abgelaufen",IF(P800&lt;C800,"teilweise","offen"))))</f>
        <v/>
      </c>
    </row>
    <row r="801">
      <c r="A801" s="7" t="n"/>
      <c r="B801" s="8" t="n"/>
      <c r="C801" s="9" t="n"/>
      <c r="D801" s="10" t="n"/>
      <c r="E801" s="10" t="n"/>
      <c r="F801" s="10" t="n"/>
      <c r="G801" s="10" t="n"/>
      <c r="H801" s="10" t="n"/>
      <c r="I801" s="11">
        <f>IF(B801="","",DATE(YEAR(B801)+3,12,31))</f>
        <v/>
      </c>
      <c r="J801" s="8" t="n"/>
      <c r="K801" s="9" t="n"/>
      <c r="L801" s="8" t="n"/>
      <c r="M801" s="9" t="n"/>
      <c r="N801" s="8" t="n"/>
      <c r="O801" s="9" t="n"/>
      <c r="P801" s="12">
        <f>IF(C801="","",C801-SUM(K801,M801,O801))</f>
        <v/>
      </c>
      <c r="Q801" s="13">
        <f>IF(A801="","",IF(P801&lt;=0,"eingelöst",IF(AND(I801&lt;&gt;"",TODAY()&gt;I801),"abgelaufen",IF(P801&lt;C801,"teilweise","offen"))))</f>
        <v/>
      </c>
    </row>
    <row r="802">
      <c r="A802" s="7" t="n"/>
      <c r="B802" s="8" t="n"/>
      <c r="C802" s="9" t="n"/>
      <c r="D802" s="10" t="n"/>
      <c r="E802" s="10" t="n"/>
      <c r="F802" s="10" t="n"/>
      <c r="G802" s="10" t="n"/>
      <c r="H802" s="10" t="n"/>
      <c r="I802" s="11">
        <f>IF(B802="","",DATE(YEAR(B802)+3,12,31))</f>
        <v/>
      </c>
      <c r="J802" s="8" t="n"/>
      <c r="K802" s="9" t="n"/>
      <c r="L802" s="8" t="n"/>
      <c r="M802" s="9" t="n"/>
      <c r="N802" s="8" t="n"/>
      <c r="O802" s="9" t="n"/>
      <c r="P802" s="12">
        <f>IF(C802="","",C802-SUM(K802,M802,O802))</f>
        <v/>
      </c>
      <c r="Q802" s="13">
        <f>IF(A802="","",IF(P802&lt;=0,"eingelöst",IF(AND(I802&lt;&gt;"",TODAY()&gt;I802),"abgelaufen",IF(P802&lt;C802,"teilweise","offen"))))</f>
        <v/>
      </c>
    </row>
    <row r="803">
      <c r="A803" s="7" t="n"/>
      <c r="B803" s="8" t="n"/>
      <c r="C803" s="9" t="n"/>
      <c r="D803" s="10" t="n"/>
      <c r="E803" s="10" t="n"/>
      <c r="F803" s="10" t="n"/>
      <c r="G803" s="10" t="n"/>
      <c r="H803" s="10" t="n"/>
      <c r="I803" s="11">
        <f>IF(B803="","",DATE(YEAR(B803)+3,12,31))</f>
        <v/>
      </c>
      <c r="J803" s="8" t="n"/>
      <c r="K803" s="9" t="n"/>
      <c r="L803" s="8" t="n"/>
      <c r="M803" s="9" t="n"/>
      <c r="N803" s="8" t="n"/>
      <c r="O803" s="9" t="n"/>
      <c r="P803" s="12">
        <f>IF(C803="","",C803-SUM(K803,M803,O803))</f>
        <v/>
      </c>
      <c r="Q803" s="13">
        <f>IF(A803="","",IF(P803&lt;=0,"eingelöst",IF(AND(I803&lt;&gt;"",TODAY()&gt;I803),"abgelaufen",IF(P803&lt;C803,"teilweise","offen"))))</f>
        <v/>
      </c>
    </row>
    <row r="804">
      <c r="A804" s="7" t="n"/>
      <c r="B804" s="8" t="n"/>
      <c r="C804" s="9" t="n"/>
      <c r="D804" s="10" t="n"/>
      <c r="E804" s="10" t="n"/>
      <c r="F804" s="10" t="n"/>
      <c r="G804" s="10" t="n"/>
      <c r="H804" s="10" t="n"/>
      <c r="I804" s="11">
        <f>IF(B804="","",DATE(YEAR(B804)+3,12,31))</f>
        <v/>
      </c>
      <c r="J804" s="8" t="n"/>
      <c r="K804" s="9" t="n"/>
      <c r="L804" s="8" t="n"/>
      <c r="M804" s="9" t="n"/>
      <c r="N804" s="8" t="n"/>
      <c r="O804" s="9" t="n"/>
      <c r="P804" s="12">
        <f>IF(C804="","",C804-SUM(K804,M804,O804))</f>
        <v/>
      </c>
      <c r="Q804" s="13">
        <f>IF(A804="","",IF(P804&lt;=0,"eingelöst",IF(AND(I804&lt;&gt;"",TODAY()&gt;I804),"abgelaufen",IF(P804&lt;C804,"teilweise","offen"))))</f>
        <v/>
      </c>
    </row>
    <row r="805">
      <c r="A805" s="7" t="n"/>
      <c r="B805" s="8" t="n"/>
      <c r="C805" s="9" t="n"/>
      <c r="D805" s="10" t="n"/>
      <c r="E805" s="10" t="n"/>
      <c r="F805" s="10" t="n"/>
      <c r="G805" s="10" t="n"/>
      <c r="H805" s="10" t="n"/>
      <c r="I805" s="11">
        <f>IF(B805="","",DATE(YEAR(B805)+3,12,31))</f>
        <v/>
      </c>
      <c r="J805" s="8" t="n"/>
      <c r="K805" s="9" t="n"/>
      <c r="L805" s="8" t="n"/>
      <c r="M805" s="9" t="n"/>
      <c r="N805" s="8" t="n"/>
      <c r="O805" s="9" t="n"/>
      <c r="P805" s="12">
        <f>IF(C805="","",C805-SUM(K805,M805,O805))</f>
        <v/>
      </c>
      <c r="Q805" s="13">
        <f>IF(A805="","",IF(P805&lt;=0,"eingelöst",IF(AND(I805&lt;&gt;"",TODAY()&gt;I805),"abgelaufen",IF(P805&lt;C805,"teilweise","offen"))))</f>
        <v/>
      </c>
    </row>
    <row r="806">
      <c r="A806" s="7" t="n"/>
      <c r="B806" s="8" t="n"/>
      <c r="C806" s="9" t="n"/>
      <c r="D806" s="10" t="n"/>
      <c r="E806" s="10" t="n"/>
      <c r="F806" s="10" t="n"/>
      <c r="G806" s="10" t="n"/>
      <c r="H806" s="10" t="n"/>
      <c r="I806" s="11">
        <f>IF(B806="","",DATE(YEAR(B806)+3,12,31))</f>
        <v/>
      </c>
      <c r="J806" s="8" t="n"/>
      <c r="K806" s="9" t="n"/>
      <c r="L806" s="8" t="n"/>
      <c r="M806" s="9" t="n"/>
      <c r="N806" s="8" t="n"/>
      <c r="O806" s="9" t="n"/>
      <c r="P806" s="12">
        <f>IF(C806="","",C806-SUM(K806,M806,O806))</f>
        <v/>
      </c>
      <c r="Q806" s="13">
        <f>IF(A806="","",IF(P806&lt;=0,"eingelöst",IF(AND(I806&lt;&gt;"",TODAY()&gt;I806),"abgelaufen",IF(P806&lt;C806,"teilweise","offen"))))</f>
        <v/>
      </c>
    </row>
    <row r="807">
      <c r="A807" s="7" t="n"/>
      <c r="B807" s="8" t="n"/>
      <c r="C807" s="9" t="n"/>
      <c r="D807" s="10" t="n"/>
      <c r="E807" s="10" t="n"/>
      <c r="F807" s="10" t="n"/>
      <c r="G807" s="10" t="n"/>
      <c r="H807" s="10" t="n"/>
      <c r="I807" s="11">
        <f>IF(B807="","",DATE(YEAR(B807)+3,12,31))</f>
        <v/>
      </c>
      <c r="J807" s="8" t="n"/>
      <c r="K807" s="9" t="n"/>
      <c r="L807" s="8" t="n"/>
      <c r="M807" s="9" t="n"/>
      <c r="N807" s="8" t="n"/>
      <c r="O807" s="9" t="n"/>
      <c r="P807" s="12">
        <f>IF(C807="","",C807-SUM(K807,M807,O807))</f>
        <v/>
      </c>
      <c r="Q807" s="13">
        <f>IF(A807="","",IF(P807&lt;=0,"eingelöst",IF(AND(I807&lt;&gt;"",TODAY()&gt;I807),"abgelaufen",IF(P807&lt;C807,"teilweise","offen"))))</f>
        <v/>
      </c>
    </row>
    <row r="808">
      <c r="A808" s="7" t="n"/>
      <c r="B808" s="8" t="n"/>
      <c r="C808" s="9" t="n"/>
      <c r="D808" s="10" t="n"/>
      <c r="E808" s="10" t="n"/>
      <c r="F808" s="10" t="n"/>
      <c r="G808" s="10" t="n"/>
      <c r="H808" s="10" t="n"/>
      <c r="I808" s="11">
        <f>IF(B808="","",DATE(YEAR(B808)+3,12,31))</f>
        <v/>
      </c>
      <c r="J808" s="8" t="n"/>
      <c r="K808" s="9" t="n"/>
      <c r="L808" s="8" t="n"/>
      <c r="M808" s="9" t="n"/>
      <c r="N808" s="8" t="n"/>
      <c r="O808" s="9" t="n"/>
      <c r="P808" s="12">
        <f>IF(C808="","",C808-SUM(K808,M808,O808))</f>
        <v/>
      </c>
      <c r="Q808" s="13">
        <f>IF(A808="","",IF(P808&lt;=0,"eingelöst",IF(AND(I808&lt;&gt;"",TODAY()&gt;I808),"abgelaufen",IF(P808&lt;C808,"teilweise","offen"))))</f>
        <v/>
      </c>
    </row>
    <row r="809">
      <c r="A809" s="7" t="n"/>
      <c r="B809" s="8" t="n"/>
      <c r="C809" s="9" t="n"/>
      <c r="D809" s="10" t="n"/>
      <c r="E809" s="10" t="n"/>
      <c r="F809" s="10" t="n"/>
      <c r="G809" s="10" t="n"/>
      <c r="H809" s="10" t="n"/>
      <c r="I809" s="11">
        <f>IF(B809="","",DATE(YEAR(B809)+3,12,31))</f>
        <v/>
      </c>
      <c r="J809" s="8" t="n"/>
      <c r="K809" s="9" t="n"/>
      <c r="L809" s="8" t="n"/>
      <c r="M809" s="9" t="n"/>
      <c r="N809" s="8" t="n"/>
      <c r="O809" s="9" t="n"/>
      <c r="P809" s="12">
        <f>IF(C809="","",C809-SUM(K809,M809,O809))</f>
        <v/>
      </c>
      <c r="Q809" s="13">
        <f>IF(A809="","",IF(P809&lt;=0,"eingelöst",IF(AND(I809&lt;&gt;"",TODAY()&gt;I809),"abgelaufen",IF(P809&lt;C809,"teilweise","offen"))))</f>
        <v/>
      </c>
    </row>
    <row r="810">
      <c r="A810" s="7" t="n"/>
      <c r="B810" s="8" t="n"/>
      <c r="C810" s="9" t="n"/>
      <c r="D810" s="10" t="n"/>
      <c r="E810" s="10" t="n"/>
      <c r="F810" s="10" t="n"/>
      <c r="G810" s="10" t="n"/>
      <c r="H810" s="10" t="n"/>
      <c r="I810" s="11">
        <f>IF(B810="","",DATE(YEAR(B810)+3,12,31))</f>
        <v/>
      </c>
      <c r="J810" s="8" t="n"/>
      <c r="K810" s="9" t="n"/>
      <c r="L810" s="8" t="n"/>
      <c r="M810" s="9" t="n"/>
      <c r="N810" s="8" t="n"/>
      <c r="O810" s="9" t="n"/>
      <c r="P810" s="12">
        <f>IF(C810="","",C810-SUM(K810,M810,O810))</f>
        <v/>
      </c>
      <c r="Q810" s="13">
        <f>IF(A810="","",IF(P810&lt;=0,"eingelöst",IF(AND(I810&lt;&gt;"",TODAY()&gt;I810),"abgelaufen",IF(P810&lt;C810,"teilweise","offen"))))</f>
        <v/>
      </c>
    </row>
    <row r="811">
      <c r="A811" s="7" t="n"/>
      <c r="B811" s="8" t="n"/>
      <c r="C811" s="9" t="n"/>
      <c r="D811" s="10" t="n"/>
      <c r="E811" s="10" t="n"/>
      <c r="F811" s="10" t="n"/>
      <c r="G811" s="10" t="n"/>
      <c r="H811" s="10" t="n"/>
      <c r="I811" s="11">
        <f>IF(B811="","",DATE(YEAR(B811)+3,12,31))</f>
        <v/>
      </c>
      <c r="J811" s="8" t="n"/>
      <c r="K811" s="9" t="n"/>
      <c r="L811" s="8" t="n"/>
      <c r="M811" s="9" t="n"/>
      <c r="N811" s="8" t="n"/>
      <c r="O811" s="9" t="n"/>
      <c r="P811" s="12">
        <f>IF(C811="","",C811-SUM(K811,M811,O811))</f>
        <v/>
      </c>
      <c r="Q811" s="13">
        <f>IF(A811="","",IF(P811&lt;=0,"eingelöst",IF(AND(I811&lt;&gt;"",TODAY()&gt;I811),"abgelaufen",IF(P811&lt;C811,"teilweise","offen"))))</f>
        <v/>
      </c>
    </row>
    <row r="812">
      <c r="A812" s="7" t="n"/>
      <c r="B812" s="8" t="n"/>
      <c r="C812" s="9" t="n"/>
      <c r="D812" s="10" t="n"/>
      <c r="E812" s="10" t="n"/>
      <c r="F812" s="10" t="n"/>
      <c r="G812" s="10" t="n"/>
      <c r="H812" s="10" t="n"/>
      <c r="I812" s="11">
        <f>IF(B812="","",DATE(YEAR(B812)+3,12,31))</f>
        <v/>
      </c>
      <c r="J812" s="8" t="n"/>
      <c r="K812" s="9" t="n"/>
      <c r="L812" s="8" t="n"/>
      <c r="M812" s="9" t="n"/>
      <c r="N812" s="8" t="n"/>
      <c r="O812" s="9" t="n"/>
      <c r="P812" s="12">
        <f>IF(C812="","",C812-SUM(K812,M812,O812))</f>
        <v/>
      </c>
      <c r="Q812" s="13">
        <f>IF(A812="","",IF(P812&lt;=0,"eingelöst",IF(AND(I812&lt;&gt;"",TODAY()&gt;I812),"abgelaufen",IF(P812&lt;C812,"teilweise","offen"))))</f>
        <v/>
      </c>
    </row>
    <row r="813">
      <c r="A813" s="7" t="n"/>
      <c r="B813" s="8" t="n"/>
      <c r="C813" s="9" t="n"/>
      <c r="D813" s="10" t="n"/>
      <c r="E813" s="10" t="n"/>
      <c r="F813" s="10" t="n"/>
      <c r="G813" s="10" t="n"/>
      <c r="H813" s="10" t="n"/>
      <c r="I813" s="11">
        <f>IF(B813="","",DATE(YEAR(B813)+3,12,31))</f>
        <v/>
      </c>
      <c r="J813" s="8" t="n"/>
      <c r="K813" s="9" t="n"/>
      <c r="L813" s="8" t="n"/>
      <c r="M813" s="9" t="n"/>
      <c r="N813" s="8" t="n"/>
      <c r="O813" s="9" t="n"/>
      <c r="P813" s="12">
        <f>IF(C813="","",C813-SUM(K813,M813,O813))</f>
        <v/>
      </c>
      <c r="Q813" s="13">
        <f>IF(A813="","",IF(P813&lt;=0,"eingelöst",IF(AND(I813&lt;&gt;"",TODAY()&gt;I813),"abgelaufen",IF(P813&lt;C813,"teilweise","offen"))))</f>
        <v/>
      </c>
    </row>
    <row r="814">
      <c r="A814" s="7" t="n"/>
      <c r="B814" s="8" t="n"/>
      <c r="C814" s="9" t="n"/>
      <c r="D814" s="10" t="n"/>
      <c r="E814" s="10" t="n"/>
      <c r="F814" s="10" t="n"/>
      <c r="G814" s="10" t="n"/>
      <c r="H814" s="10" t="n"/>
      <c r="I814" s="11">
        <f>IF(B814="","",DATE(YEAR(B814)+3,12,31))</f>
        <v/>
      </c>
      <c r="J814" s="8" t="n"/>
      <c r="K814" s="9" t="n"/>
      <c r="L814" s="8" t="n"/>
      <c r="M814" s="9" t="n"/>
      <c r="N814" s="8" t="n"/>
      <c r="O814" s="9" t="n"/>
      <c r="P814" s="12">
        <f>IF(C814="","",C814-SUM(K814,M814,O814))</f>
        <v/>
      </c>
      <c r="Q814" s="13">
        <f>IF(A814="","",IF(P814&lt;=0,"eingelöst",IF(AND(I814&lt;&gt;"",TODAY()&gt;I814),"abgelaufen",IF(P814&lt;C814,"teilweise","offen"))))</f>
        <v/>
      </c>
    </row>
    <row r="815">
      <c r="A815" s="7" t="n"/>
      <c r="B815" s="8" t="n"/>
      <c r="C815" s="9" t="n"/>
      <c r="D815" s="10" t="n"/>
      <c r="E815" s="10" t="n"/>
      <c r="F815" s="10" t="n"/>
      <c r="G815" s="10" t="n"/>
      <c r="H815" s="10" t="n"/>
      <c r="I815" s="11">
        <f>IF(B815="","",DATE(YEAR(B815)+3,12,31))</f>
        <v/>
      </c>
      <c r="J815" s="8" t="n"/>
      <c r="K815" s="9" t="n"/>
      <c r="L815" s="8" t="n"/>
      <c r="M815" s="9" t="n"/>
      <c r="N815" s="8" t="n"/>
      <c r="O815" s="9" t="n"/>
      <c r="P815" s="12">
        <f>IF(C815="","",C815-SUM(K815,M815,O815))</f>
        <v/>
      </c>
      <c r="Q815" s="13">
        <f>IF(A815="","",IF(P815&lt;=0,"eingelöst",IF(AND(I815&lt;&gt;"",TODAY()&gt;I815),"abgelaufen",IF(P815&lt;C815,"teilweise","offen"))))</f>
        <v/>
      </c>
    </row>
    <row r="816">
      <c r="A816" s="7" t="n"/>
      <c r="B816" s="8" t="n"/>
      <c r="C816" s="9" t="n"/>
      <c r="D816" s="10" t="n"/>
      <c r="E816" s="10" t="n"/>
      <c r="F816" s="10" t="n"/>
      <c r="G816" s="10" t="n"/>
      <c r="H816" s="10" t="n"/>
      <c r="I816" s="11">
        <f>IF(B816="","",DATE(YEAR(B816)+3,12,31))</f>
        <v/>
      </c>
      <c r="J816" s="8" t="n"/>
      <c r="K816" s="9" t="n"/>
      <c r="L816" s="8" t="n"/>
      <c r="M816" s="9" t="n"/>
      <c r="N816" s="8" t="n"/>
      <c r="O816" s="9" t="n"/>
      <c r="P816" s="12">
        <f>IF(C816="","",C816-SUM(K816,M816,O816))</f>
        <v/>
      </c>
      <c r="Q816" s="13">
        <f>IF(A816="","",IF(P816&lt;=0,"eingelöst",IF(AND(I816&lt;&gt;"",TODAY()&gt;I816),"abgelaufen",IF(P816&lt;C816,"teilweise","offen"))))</f>
        <v/>
      </c>
    </row>
    <row r="817">
      <c r="A817" s="7" t="n"/>
      <c r="B817" s="8" t="n"/>
      <c r="C817" s="9" t="n"/>
      <c r="D817" s="10" t="n"/>
      <c r="E817" s="10" t="n"/>
      <c r="F817" s="10" t="n"/>
      <c r="G817" s="10" t="n"/>
      <c r="H817" s="10" t="n"/>
      <c r="I817" s="11">
        <f>IF(B817="","",DATE(YEAR(B817)+3,12,31))</f>
        <v/>
      </c>
      <c r="J817" s="8" t="n"/>
      <c r="K817" s="9" t="n"/>
      <c r="L817" s="8" t="n"/>
      <c r="M817" s="9" t="n"/>
      <c r="N817" s="8" t="n"/>
      <c r="O817" s="9" t="n"/>
      <c r="P817" s="12">
        <f>IF(C817="","",C817-SUM(K817,M817,O817))</f>
        <v/>
      </c>
      <c r="Q817" s="13">
        <f>IF(A817="","",IF(P817&lt;=0,"eingelöst",IF(AND(I817&lt;&gt;"",TODAY()&gt;I817),"abgelaufen",IF(P817&lt;C817,"teilweise","offen"))))</f>
        <v/>
      </c>
    </row>
    <row r="818">
      <c r="A818" s="7" t="n"/>
      <c r="B818" s="8" t="n"/>
      <c r="C818" s="9" t="n"/>
      <c r="D818" s="10" t="n"/>
      <c r="E818" s="10" t="n"/>
      <c r="F818" s="10" t="n"/>
      <c r="G818" s="10" t="n"/>
      <c r="H818" s="10" t="n"/>
      <c r="I818" s="11">
        <f>IF(B818="","",DATE(YEAR(B818)+3,12,31))</f>
        <v/>
      </c>
      <c r="J818" s="8" t="n"/>
      <c r="K818" s="9" t="n"/>
      <c r="L818" s="8" t="n"/>
      <c r="M818" s="9" t="n"/>
      <c r="N818" s="8" t="n"/>
      <c r="O818" s="9" t="n"/>
      <c r="P818" s="12">
        <f>IF(C818="","",C818-SUM(K818,M818,O818))</f>
        <v/>
      </c>
      <c r="Q818" s="13">
        <f>IF(A818="","",IF(P818&lt;=0,"eingelöst",IF(AND(I818&lt;&gt;"",TODAY()&gt;I818),"abgelaufen",IF(P818&lt;C818,"teilweise","offen"))))</f>
        <v/>
      </c>
    </row>
    <row r="819">
      <c r="A819" s="7" t="n"/>
      <c r="B819" s="8" t="n"/>
      <c r="C819" s="9" t="n"/>
      <c r="D819" s="10" t="n"/>
      <c r="E819" s="10" t="n"/>
      <c r="F819" s="10" t="n"/>
      <c r="G819" s="10" t="n"/>
      <c r="H819" s="10" t="n"/>
      <c r="I819" s="11">
        <f>IF(B819="","",DATE(YEAR(B819)+3,12,31))</f>
        <v/>
      </c>
      <c r="J819" s="8" t="n"/>
      <c r="K819" s="9" t="n"/>
      <c r="L819" s="8" t="n"/>
      <c r="M819" s="9" t="n"/>
      <c r="N819" s="8" t="n"/>
      <c r="O819" s="9" t="n"/>
      <c r="P819" s="12">
        <f>IF(C819="","",C819-SUM(K819,M819,O819))</f>
        <v/>
      </c>
      <c r="Q819" s="13">
        <f>IF(A819="","",IF(P819&lt;=0,"eingelöst",IF(AND(I819&lt;&gt;"",TODAY()&gt;I819),"abgelaufen",IF(P819&lt;C819,"teilweise","offen"))))</f>
        <v/>
      </c>
    </row>
    <row r="820">
      <c r="A820" s="7" t="n"/>
      <c r="B820" s="8" t="n"/>
      <c r="C820" s="9" t="n"/>
      <c r="D820" s="10" t="n"/>
      <c r="E820" s="10" t="n"/>
      <c r="F820" s="10" t="n"/>
      <c r="G820" s="10" t="n"/>
      <c r="H820" s="10" t="n"/>
      <c r="I820" s="11">
        <f>IF(B820="","",DATE(YEAR(B820)+3,12,31))</f>
        <v/>
      </c>
      <c r="J820" s="8" t="n"/>
      <c r="K820" s="9" t="n"/>
      <c r="L820" s="8" t="n"/>
      <c r="M820" s="9" t="n"/>
      <c r="N820" s="8" t="n"/>
      <c r="O820" s="9" t="n"/>
      <c r="P820" s="12">
        <f>IF(C820="","",C820-SUM(K820,M820,O820))</f>
        <v/>
      </c>
      <c r="Q820" s="13">
        <f>IF(A820="","",IF(P820&lt;=0,"eingelöst",IF(AND(I820&lt;&gt;"",TODAY()&gt;I820),"abgelaufen",IF(P820&lt;C820,"teilweise","offen"))))</f>
        <v/>
      </c>
    </row>
    <row r="821">
      <c r="A821" s="7" t="n"/>
      <c r="B821" s="8" t="n"/>
      <c r="C821" s="9" t="n"/>
      <c r="D821" s="10" t="n"/>
      <c r="E821" s="10" t="n"/>
      <c r="F821" s="10" t="n"/>
      <c r="G821" s="10" t="n"/>
      <c r="H821" s="10" t="n"/>
      <c r="I821" s="11">
        <f>IF(B821="","",DATE(YEAR(B821)+3,12,31))</f>
        <v/>
      </c>
      <c r="J821" s="8" t="n"/>
      <c r="K821" s="9" t="n"/>
      <c r="L821" s="8" t="n"/>
      <c r="M821" s="9" t="n"/>
      <c r="N821" s="8" t="n"/>
      <c r="O821" s="9" t="n"/>
      <c r="P821" s="12">
        <f>IF(C821="","",C821-SUM(K821,M821,O821))</f>
        <v/>
      </c>
      <c r="Q821" s="13">
        <f>IF(A821="","",IF(P821&lt;=0,"eingelöst",IF(AND(I821&lt;&gt;"",TODAY()&gt;I821),"abgelaufen",IF(P821&lt;C821,"teilweise","offen"))))</f>
        <v/>
      </c>
    </row>
    <row r="822">
      <c r="A822" s="7" t="n"/>
      <c r="B822" s="8" t="n"/>
      <c r="C822" s="9" t="n"/>
      <c r="D822" s="10" t="n"/>
      <c r="E822" s="10" t="n"/>
      <c r="F822" s="10" t="n"/>
      <c r="G822" s="10" t="n"/>
      <c r="H822" s="10" t="n"/>
      <c r="I822" s="11">
        <f>IF(B822="","",DATE(YEAR(B822)+3,12,31))</f>
        <v/>
      </c>
      <c r="J822" s="8" t="n"/>
      <c r="K822" s="9" t="n"/>
      <c r="L822" s="8" t="n"/>
      <c r="M822" s="9" t="n"/>
      <c r="N822" s="8" t="n"/>
      <c r="O822" s="9" t="n"/>
      <c r="P822" s="12">
        <f>IF(C822="","",C822-SUM(K822,M822,O822))</f>
        <v/>
      </c>
      <c r="Q822" s="13">
        <f>IF(A822="","",IF(P822&lt;=0,"eingelöst",IF(AND(I822&lt;&gt;"",TODAY()&gt;I822),"abgelaufen",IF(P822&lt;C822,"teilweise","offen"))))</f>
        <v/>
      </c>
    </row>
    <row r="823">
      <c r="A823" s="7" t="n"/>
      <c r="B823" s="8" t="n"/>
      <c r="C823" s="9" t="n"/>
      <c r="D823" s="10" t="n"/>
      <c r="E823" s="10" t="n"/>
      <c r="F823" s="10" t="n"/>
      <c r="G823" s="10" t="n"/>
      <c r="H823" s="10" t="n"/>
      <c r="I823" s="11">
        <f>IF(B823="","",DATE(YEAR(B823)+3,12,31))</f>
        <v/>
      </c>
      <c r="J823" s="8" t="n"/>
      <c r="K823" s="9" t="n"/>
      <c r="L823" s="8" t="n"/>
      <c r="M823" s="9" t="n"/>
      <c r="N823" s="8" t="n"/>
      <c r="O823" s="9" t="n"/>
      <c r="P823" s="12">
        <f>IF(C823="","",C823-SUM(K823,M823,O823))</f>
        <v/>
      </c>
      <c r="Q823" s="13">
        <f>IF(A823="","",IF(P823&lt;=0,"eingelöst",IF(AND(I823&lt;&gt;"",TODAY()&gt;I823),"abgelaufen",IF(P823&lt;C823,"teilweise","offen"))))</f>
        <v/>
      </c>
    </row>
    <row r="824">
      <c r="A824" s="7" t="n"/>
      <c r="B824" s="8" t="n"/>
      <c r="C824" s="9" t="n"/>
      <c r="D824" s="10" t="n"/>
      <c r="E824" s="10" t="n"/>
      <c r="F824" s="10" t="n"/>
      <c r="G824" s="10" t="n"/>
      <c r="H824" s="10" t="n"/>
      <c r="I824" s="11">
        <f>IF(B824="","",DATE(YEAR(B824)+3,12,31))</f>
        <v/>
      </c>
      <c r="J824" s="8" t="n"/>
      <c r="K824" s="9" t="n"/>
      <c r="L824" s="8" t="n"/>
      <c r="M824" s="9" t="n"/>
      <c r="N824" s="8" t="n"/>
      <c r="O824" s="9" t="n"/>
      <c r="P824" s="12">
        <f>IF(C824="","",C824-SUM(K824,M824,O824))</f>
        <v/>
      </c>
      <c r="Q824" s="13">
        <f>IF(A824="","",IF(P824&lt;=0,"eingelöst",IF(AND(I824&lt;&gt;"",TODAY()&gt;I824),"abgelaufen",IF(P824&lt;C824,"teilweise","offen"))))</f>
        <v/>
      </c>
    </row>
    <row r="825">
      <c r="A825" s="7" t="n"/>
      <c r="B825" s="8" t="n"/>
      <c r="C825" s="9" t="n"/>
      <c r="D825" s="10" t="n"/>
      <c r="E825" s="10" t="n"/>
      <c r="F825" s="10" t="n"/>
      <c r="G825" s="10" t="n"/>
      <c r="H825" s="10" t="n"/>
      <c r="I825" s="11">
        <f>IF(B825="","",DATE(YEAR(B825)+3,12,31))</f>
        <v/>
      </c>
      <c r="J825" s="8" t="n"/>
      <c r="K825" s="9" t="n"/>
      <c r="L825" s="8" t="n"/>
      <c r="M825" s="9" t="n"/>
      <c r="N825" s="8" t="n"/>
      <c r="O825" s="9" t="n"/>
      <c r="P825" s="12">
        <f>IF(C825="","",C825-SUM(K825,M825,O825))</f>
        <v/>
      </c>
      <c r="Q825" s="13">
        <f>IF(A825="","",IF(P825&lt;=0,"eingelöst",IF(AND(I825&lt;&gt;"",TODAY()&gt;I825),"abgelaufen",IF(P825&lt;C825,"teilweise","offen"))))</f>
        <v/>
      </c>
    </row>
    <row r="826">
      <c r="A826" s="7" t="n"/>
      <c r="B826" s="8" t="n"/>
      <c r="C826" s="9" t="n"/>
      <c r="D826" s="10" t="n"/>
      <c r="E826" s="10" t="n"/>
      <c r="F826" s="10" t="n"/>
      <c r="G826" s="10" t="n"/>
      <c r="H826" s="10" t="n"/>
      <c r="I826" s="11">
        <f>IF(B826="","",DATE(YEAR(B826)+3,12,31))</f>
        <v/>
      </c>
      <c r="J826" s="8" t="n"/>
      <c r="K826" s="9" t="n"/>
      <c r="L826" s="8" t="n"/>
      <c r="M826" s="9" t="n"/>
      <c r="N826" s="8" t="n"/>
      <c r="O826" s="9" t="n"/>
      <c r="P826" s="12">
        <f>IF(C826="","",C826-SUM(K826,M826,O826))</f>
        <v/>
      </c>
      <c r="Q826" s="13">
        <f>IF(A826="","",IF(P826&lt;=0,"eingelöst",IF(AND(I826&lt;&gt;"",TODAY()&gt;I826),"abgelaufen",IF(P826&lt;C826,"teilweise","offen"))))</f>
        <v/>
      </c>
    </row>
    <row r="827">
      <c r="A827" s="7" t="n"/>
      <c r="B827" s="8" t="n"/>
      <c r="C827" s="9" t="n"/>
      <c r="D827" s="10" t="n"/>
      <c r="E827" s="10" t="n"/>
      <c r="F827" s="10" t="n"/>
      <c r="G827" s="10" t="n"/>
      <c r="H827" s="10" t="n"/>
      <c r="I827" s="11">
        <f>IF(B827="","",DATE(YEAR(B827)+3,12,31))</f>
        <v/>
      </c>
      <c r="J827" s="8" t="n"/>
      <c r="K827" s="9" t="n"/>
      <c r="L827" s="8" t="n"/>
      <c r="M827" s="9" t="n"/>
      <c r="N827" s="8" t="n"/>
      <c r="O827" s="9" t="n"/>
      <c r="P827" s="12">
        <f>IF(C827="","",C827-SUM(K827,M827,O827))</f>
        <v/>
      </c>
      <c r="Q827" s="13">
        <f>IF(A827="","",IF(P827&lt;=0,"eingelöst",IF(AND(I827&lt;&gt;"",TODAY()&gt;I827),"abgelaufen",IF(P827&lt;C827,"teilweise","offen"))))</f>
        <v/>
      </c>
    </row>
    <row r="828">
      <c r="A828" s="7" t="n"/>
      <c r="B828" s="8" t="n"/>
      <c r="C828" s="9" t="n"/>
      <c r="D828" s="10" t="n"/>
      <c r="E828" s="10" t="n"/>
      <c r="F828" s="10" t="n"/>
      <c r="G828" s="10" t="n"/>
      <c r="H828" s="10" t="n"/>
      <c r="I828" s="11">
        <f>IF(B828="","",DATE(YEAR(B828)+3,12,31))</f>
        <v/>
      </c>
      <c r="J828" s="8" t="n"/>
      <c r="K828" s="9" t="n"/>
      <c r="L828" s="8" t="n"/>
      <c r="M828" s="9" t="n"/>
      <c r="N828" s="8" t="n"/>
      <c r="O828" s="9" t="n"/>
      <c r="P828" s="12">
        <f>IF(C828="","",C828-SUM(K828,M828,O828))</f>
        <v/>
      </c>
      <c r="Q828" s="13">
        <f>IF(A828="","",IF(P828&lt;=0,"eingelöst",IF(AND(I828&lt;&gt;"",TODAY()&gt;I828),"abgelaufen",IF(P828&lt;C828,"teilweise","offen"))))</f>
        <v/>
      </c>
    </row>
    <row r="829">
      <c r="A829" s="7" t="n"/>
      <c r="B829" s="8" t="n"/>
      <c r="C829" s="9" t="n"/>
      <c r="D829" s="10" t="n"/>
      <c r="E829" s="10" t="n"/>
      <c r="F829" s="10" t="n"/>
      <c r="G829" s="10" t="n"/>
      <c r="H829" s="10" t="n"/>
      <c r="I829" s="11">
        <f>IF(B829="","",DATE(YEAR(B829)+3,12,31))</f>
        <v/>
      </c>
      <c r="J829" s="8" t="n"/>
      <c r="K829" s="9" t="n"/>
      <c r="L829" s="8" t="n"/>
      <c r="M829" s="9" t="n"/>
      <c r="N829" s="8" t="n"/>
      <c r="O829" s="9" t="n"/>
      <c r="P829" s="12">
        <f>IF(C829="","",C829-SUM(K829,M829,O829))</f>
        <v/>
      </c>
      <c r="Q829" s="13">
        <f>IF(A829="","",IF(P829&lt;=0,"eingelöst",IF(AND(I829&lt;&gt;"",TODAY()&gt;I829),"abgelaufen",IF(P829&lt;C829,"teilweise","offen"))))</f>
        <v/>
      </c>
    </row>
    <row r="830">
      <c r="A830" s="7" t="n"/>
      <c r="B830" s="8" t="n"/>
      <c r="C830" s="9" t="n"/>
      <c r="D830" s="10" t="n"/>
      <c r="E830" s="10" t="n"/>
      <c r="F830" s="10" t="n"/>
      <c r="G830" s="10" t="n"/>
      <c r="H830" s="10" t="n"/>
      <c r="I830" s="11">
        <f>IF(B830="","",DATE(YEAR(B830)+3,12,31))</f>
        <v/>
      </c>
      <c r="J830" s="8" t="n"/>
      <c r="K830" s="9" t="n"/>
      <c r="L830" s="8" t="n"/>
      <c r="M830" s="9" t="n"/>
      <c r="N830" s="8" t="n"/>
      <c r="O830" s="9" t="n"/>
      <c r="P830" s="12">
        <f>IF(C830="","",C830-SUM(K830,M830,O830))</f>
        <v/>
      </c>
      <c r="Q830" s="13">
        <f>IF(A830="","",IF(P830&lt;=0,"eingelöst",IF(AND(I830&lt;&gt;"",TODAY()&gt;I830),"abgelaufen",IF(P830&lt;C830,"teilweise","offen"))))</f>
        <v/>
      </c>
    </row>
    <row r="831">
      <c r="A831" s="7" t="n"/>
      <c r="B831" s="8" t="n"/>
      <c r="C831" s="9" t="n"/>
      <c r="D831" s="10" t="n"/>
      <c r="E831" s="10" t="n"/>
      <c r="F831" s="10" t="n"/>
      <c r="G831" s="10" t="n"/>
      <c r="H831" s="10" t="n"/>
      <c r="I831" s="11">
        <f>IF(B831="","",DATE(YEAR(B831)+3,12,31))</f>
        <v/>
      </c>
      <c r="J831" s="8" t="n"/>
      <c r="K831" s="9" t="n"/>
      <c r="L831" s="8" t="n"/>
      <c r="M831" s="9" t="n"/>
      <c r="N831" s="8" t="n"/>
      <c r="O831" s="9" t="n"/>
      <c r="P831" s="12">
        <f>IF(C831="","",C831-SUM(K831,M831,O831))</f>
        <v/>
      </c>
      <c r="Q831" s="13">
        <f>IF(A831="","",IF(P831&lt;=0,"eingelöst",IF(AND(I831&lt;&gt;"",TODAY()&gt;I831),"abgelaufen",IF(P831&lt;C831,"teilweise","offen"))))</f>
        <v/>
      </c>
    </row>
    <row r="832">
      <c r="A832" s="7" t="n"/>
      <c r="B832" s="8" t="n"/>
      <c r="C832" s="9" t="n"/>
      <c r="D832" s="10" t="n"/>
      <c r="E832" s="10" t="n"/>
      <c r="F832" s="10" t="n"/>
      <c r="G832" s="10" t="n"/>
      <c r="H832" s="10" t="n"/>
      <c r="I832" s="11">
        <f>IF(B832="","",DATE(YEAR(B832)+3,12,31))</f>
        <v/>
      </c>
      <c r="J832" s="8" t="n"/>
      <c r="K832" s="9" t="n"/>
      <c r="L832" s="8" t="n"/>
      <c r="M832" s="9" t="n"/>
      <c r="N832" s="8" t="n"/>
      <c r="O832" s="9" t="n"/>
      <c r="P832" s="12">
        <f>IF(C832="","",C832-SUM(K832,M832,O832))</f>
        <v/>
      </c>
      <c r="Q832" s="13">
        <f>IF(A832="","",IF(P832&lt;=0,"eingelöst",IF(AND(I832&lt;&gt;"",TODAY()&gt;I832),"abgelaufen",IF(P832&lt;C832,"teilweise","offen"))))</f>
        <v/>
      </c>
    </row>
    <row r="833">
      <c r="A833" s="7" t="n"/>
      <c r="B833" s="8" t="n"/>
      <c r="C833" s="9" t="n"/>
      <c r="D833" s="10" t="n"/>
      <c r="E833" s="10" t="n"/>
      <c r="F833" s="10" t="n"/>
      <c r="G833" s="10" t="n"/>
      <c r="H833" s="10" t="n"/>
      <c r="I833" s="11">
        <f>IF(B833="","",DATE(YEAR(B833)+3,12,31))</f>
        <v/>
      </c>
      <c r="J833" s="8" t="n"/>
      <c r="K833" s="9" t="n"/>
      <c r="L833" s="8" t="n"/>
      <c r="M833" s="9" t="n"/>
      <c r="N833" s="8" t="n"/>
      <c r="O833" s="9" t="n"/>
      <c r="P833" s="12">
        <f>IF(C833="","",C833-SUM(K833,M833,O833))</f>
        <v/>
      </c>
      <c r="Q833" s="13">
        <f>IF(A833="","",IF(P833&lt;=0,"eingelöst",IF(AND(I833&lt;&gt;"",TODAY()&gt;I833),"abgelaufen",IF(P833&lt;C833,"teilweise","offen"))))</f>
        <v/>
      </c>
    </row>
    <row r="834">
      <c r="A834" s="7" t="n"/>
      <c r="B834" s="8" t="n"/>
      <c r="C834" s="9" t="n"/>
      <c r="D834" s="10" t="n"/>
      <c r="E834" s="10" t="n"/>
      <c r="F834" s="10" t="n"/>
      <c r="G834" s="10" t="n"/>
      <c r="H834" s="10" t="n"/>
      <c r="I834" s="11">
        <f>IF(B834="","",DATE(YEAR(B834)+3,12,31))</f>
        <v/>
      </c>
      <c r="J834" s="8" t="n"/>
      <c r="K834" s="9" t="n"/>
      <c r="L834" s="8" t="n"/>
      <c r="M834" s="9" t="n"/>
      <c r="N834" s="8" t="n"/>
      <c r="O834" s="9" t="n"/>
      <c r="P834" s="12">
        <f>IF(C834="","",C834-SUM(K834,M834,O834))</f>
        <v/>
      </c>
      <c r="Q834" s="13">
        <f>IF(A834="","",IF(P834&lt;=0,"eingelöst",IF(AND(I834&lt;&gt;"",TODAY()&gt;I834),"abgelaufen",IF(P834&lt;C834,"teilweise","offen"))))</f>
        <v/>
      </c>
    </row>
    <row r="835">
      <c r="A835" s="7" t="n"/>
      <c r="B835" s="8" t="n"/>
      <c r="C835" s="9" t="n"/>
      <c r="D835" s="10" t="n"/>
      <c r="E835" s="10" t="n"/>
      <c r="F835" s="10" t="n"/>
      <c r="G835" s="10" t="n"/>
      <c r="H835" s="10" t="n"/>
      <c r="I835" s="11">
        <f>IF(B835="","",DATE(YEAR(B835)+3,12,31))</f>
        <v/>
      </c>
      <c r="J835" s="8" t="n"/>
      <c r="K835" s="9" t="n"/>
      <c r="L835" s="8" t="n"/>
      <c r="M835" s="9" t="n"/>
      <c r="N835" s="8" t="n"/>
      <c r="O835" s="9" t="n"/>
      <c r="P835" s="12">
        <f>IF(C835="","",C835-SUM(K835,M835,O835))</f>
        <v/>
      </c>
      <c r="Q835" s="13">
        <f>IF(A835="","",IF(P835&lt;=0,"eingelöst",IF(AND(I835&lt;&gt;"",TODAY()&gt;I835),"abgelaufen",IF(P835&lt;C835,"teilweise","offen"))))</f>
        <v/>
      </c>
    </row>
    <row r="836">
      <c r="A836" s="7" t="n"/>
      <c r="B836" s="8" t="n"/>
      <c r="C836" s="9" t="n"/>
      <c r="D836" s="10" t="n"/>
      <c r="E836" s="10" t="n"/>
      <c r="F836" s="10" t="n"/>
      <c r="G836" s="10" t="n"/>
      <c r="H836" s="10" t="n"/>
      <c r="I836" s="11">
        <f>IF(B836="","",DATE(YEAR(B836)+3,12,31))</f>
        <v/>
      </c>
      <c r="J836" s="8" t="n"/>
      <c r="K836" s="9" t="n"/>
      <c r="L836" s="8" t="n"/>
      <c r="M836" s="9" t="n"/>
      <c r="N836" s="8" t="n"/>
      <c r="O836" s="9" t="n"/>
      <c r="P836" s="12">
        <f>IF(C836="","",C836-SUM(K836,M836,O836))</f>
        <v/>
      </c>
      <c r="Q836" s="13">
        <f>IF(A836="","",IF(P836&lt;=0,"eingelöst",IF(AND(I836&lt;&gt;"",TODAY()&gt;I836),"abgelaufen",IF(P836&lt;C836,"teilweise","offen"))))</f>
        <v/>
      </c>
    </row>
    <row r="837">
      <c r="A837" s="7" t="n"/>
      <c r="B837" s="8" t="n"/>
      <c r="C837" s="9" t="n"/>
      <c r="D837" s="10" t="n"/>
      <c r="E837" s="10" t="n"/>
      <c r="F837" s="10" t="n"/>
      <c r="G837" s="10" t="n"/>
      <c r="H837" s="10" t="n"/>
      <c r="I837" s="11">
        <f>IF(B837="","",DATE(YEAR(B837)+3,12,31))</f>
        <v/>
      </c>
      <c r="J837" s="8" t="n"/>
      <c r="K837" s="9" t="n"/>
      <c r="L837" s="8" t="n"/>
      <c r="M837" s="9" t="n"/>
      <c r="N837" s="8" t="n"/>
      <c r="O837" s="9" t="n"/>
      <c r="P837" s="12">
        <f>IF(C837="","",C837-SUM(K837,M837,O837))</f>
        <v/>
      </c>
      <c r="Q837" s="13">
        <f>IF(A837="","",IF(P837&lt;=0,"eingelöst",IF(AND(I837&lt;&gt;"",TODAY()&gt;I837),"abgelaufen",IF(P837&lt;C837,"teilweise","offen"))))</f>
        <v/>
      </c>
    </row>
    <row r="838">
      <c r="A838" s="7" t="n"/>
      <c r="B838" s="8" t="n"/>
      <c r="C838" s="9" t="n"/>
      <c r="D838" s="10" t="n"/>
      <c r="E838" s="10" t="n"/>
      <c r="F838" s="10" t="n"/>
      <c r="G838" s="10" t="n"/>
      <c r="H838" s="10" t="n"/>
      <c r="I838" s="11">
        <f>IF(B838="","",DATE(YEAR(B838)+3,12,31))</f>
        <v/>
      </c>
      <c r="J838" s="8" t="n"/>
      <c r="K838" s="9" t="n"/>
      <c r="L838" s="8" t="n"/>
      <c r="M838" s="9" t="n"/>
      <c r="N838" s="8" t="n"/>
      <c r="O838" s="9" t="n"/>
      <c r="P838" s="12">
        <f>IF(C838="","",C838-SUM(K838,M838,O838))</f>
        <v/>
      </c>
      <c r="Q838" s="13">
        <f>IF(A838="","",IF(P838&lt;=0,"eingelöst",IF(AND(I838&lt;&gt;"",TODAY()&gt;I838),"abgelaufen",IF(P838&lt;C838,"teilweise","offen"))))</f>
        <v/>
      </c>
    </row>
    <row r="839">
      <c r="A839" s="7" t="n"/>
      <c r="B839" s="8" t="n"/>
      <c r="C839" s="9" t="n"/>
      <c r="D839" s="10" t="n"/>
      <c r="E839" s="10" t="n"/>
      <c r="F839" s="10" t="n"/>
      <c r="G839" s="10" t="n"/>
      <c r="H839" s="10" t="n"/>
      <c r="I839" s="11">
        <f>IF(B839="","",DATE(YEAR(B839)+3,12,31))</f>
        <v/>
      </c>
      <c r="J839" s="8" t="n"/>
      <c r="K839" s="9" t="n"/>
      <c r="L839" s="8" t="n"/>
      <c r="M839" s="9" t="n"/>
      <c r="N839" s="8" t="n"/>
      <c r="O839" s="9" t="n"/>
      <c r="P839" s="12">
        <f>IF(C839="","",C839-SUM(K839,M839,O839))</f>
        <v/>
      </c>
      <c r="Q839" s="13">
        <f>IF(A839="","",IF(P839&lt;=0,"eingelöst",IF(AND(I839&lt;&gt;"",TODAY()&gt;I839),"abgelaufen",IF(P839&lt;C839,"teilweise","offen"))))</f>
        <v/>
      </c>
    </row>
    <row r="840">
      <c r="A840" s="7" t="n"/>
      <c r="B840" s="8" t="n"/>
      <c r="C840" s="9" t="n"/>
      <c r="D840" s="10" t="n"/>
      <c r="E840" s="10" t="n"/>
      <c r="F840" s="10" t="n"/>
      <c r="G840" s="10" t="n"/>
      <c r="H840" s="10" t="n"/>
      <c r="I840" s="11">
        <f>IF(B840="","",DATE(YEAR(B840)+3,12,31))</f>
        <v/>
      </c>
      <c r="J840" s="8" t="n"/>
      <c r="K840" s="9" t="n"/>
      <c r="L840" s="8" t="n"/>
      <c r="M840" s="9" t="n"/>
      <c r="N840" s="8" t="n"/>
      <c r="O840" s="9" t="n"/>
      <c r="P840" s="12">
        <f>IF(C840="","",C840-SUM(K840,M840,O840))</f>
        <v/>
      </c>
      <c r="Q840" s="13">
        <f>IF(A840="","",IF(P840&lt;=0,"eingelöst",IF(AND(I840&lt;&gt;"",TODAY()&gt;I840),"abgelaufen",IF(P840&lt;C840,"teilweise","offen"))))</f>
        <v/>
      </c>
    </row>
    <row r="841">
      <c r="A841" s="7" t="n"/>
      <c r="B841" s="8" t="n"/>
      <c r="C841" s="9" t="n"/>
      <c r="D841" s="10" t="n"/>
      <c r="E841" s="10" t="n"/>
      <c r="F841" s="10" t="n"/>
      <c r="G841" s="10" t="n"/>
      <c r="H841" s="10" t="n"/>
      <c r="I841" s="11">
        <f>IF(B841="","",DATE(YEAR(B841)+3,12,31))</f>
        <v/>
      </c>
      <c r="J841" s="8" t="n"/>
      <c r="K841" s="9" t="n"/>
      <c r="L841" s="8" t="n"/>
      <c r="M841" s="9" t="n"/>
      <c r="N841" s="8" t="n"/>
      <c r="O841" s="9" t="n"/>
      <c r="P841" s="12">
        <f>IF(C841="","",C841-SUM(K841,M841,O841))</f>
        <v/>
      </c>
      <c r="Q841" s="13">
        <f>IF(A841="","",IF(P841&lt;=0,"eingelöst",IF(AND(I841&lt;&gt;"",TODAY()&gt;I841),"abgelaufen",IF(P841&lt;C841,"teilweise","offen"))))</f>
        <v/>
      </c>
    </row>
    <row r="842">
      <c r="A842" s="7" t="n"/>
      <c r="B842" s="8" t="n"/>
      <c r="C842" s="9" t="n"/>
      <c r="D842" s="10" t="n"/>
      <c r="E842" s="10" t="n"/>
      <c r="F842" s="10" t="n"/>
      <c r="G842" s="10" t="n"/>
      <c r="H842" s="10" t="n"/>
      <c r="I842" s="11">
        <f>IF(B842="","",DATE(YEAR(B842)+3,12,31))</f>
        <v/>
      </c>
      <c r="J842" s="8" t="n"/>
      <c r="K842" s="9" t="n"/>
      <c r="L842" s="8" t="n"/>
      <c r="M842" s="9" t="n"/>
      <c r="N842" s="8" t="n"/>
      <c r="O842" s="9" t="n"/>
      <c r="P842" s="12">
        <f>IF(C842="","",C842-SUM(K842,M842,O842))</f>
        <v/>
      </c>
      <c r="Q842" s="13">
        <f>IF(A842="","",IF(P842&lt;=0,"eingelöst",IF(AND(I842&lt;&gt;"",TODAY()&gt;I842),"abgelaufen",IF(P842&lt;C842,"teilweise","offen"))))</f>
        <v/>
      </c>
    </row>
    <row r="843">
      <c r="A843" s="7" t="n"/>
      <c r="B843" s="8" t="n"/>
      <c r="C843" s="9" t="n"/>
      <c r="D843" s="10" t="n"/>
      <c r="E843" s="10" t="n"/>
      <c r="F843" s="10" t="n"/>
      <c r="G843" s="10" t="n"/>
      <c r="H843" s="10" t="n"/>
      <c r="I843" s="11">
        <f>IF(B843="","",DATE(YEAR(B843)+3,12,31))</f>
        <v/>
      </c>
      <c r="J843" s="8" t="n"/>
      <c r="K843" s="9" t="n"/>
      <c r="L843" s="8" t="n"/>
      <c r="M843" s="9" t="n"/>
      <c r="N843" s="8" t="n"/>
      <c r="O843" s="9" t="n"/>
      <c r="P843" s="12">
        <f>IF(C843="","",C843-SUM(K843,M843,O843))</f>
        <v/>
      </c>
      <c r="Q843" s="13">
        <f>IF(A843="","",IF(P843&lt;=0,"eingelöst",IF(AND(I843&lt;&gt;"",TODAY()&gt;I843),"abgelaufen",IF(P843&lt;C843,"teilweise","offen"))))</f>
        <v/>
      </c>
    </row>
    <row r="844">
      <c r="A844" s="7" t="n"/>
      <c r="B844" s="8" t="n"/>
      <c r="C844" s="9" t="n"/>
      <c r="D844" s="10" t="n"/>
      <c r="E844" s="10" t="n"/>
      <c r="F844" s="10" t="n"/>
      <c r="G844" s="10" t="n"/>
      <c r="H844" s="10" t="n"/>
      <c r="I844" s="11">
        <f>IF(B844="","",DATE(YEAR(B844)+3,12,31))</f>
        <v/>
      </c>
      <c r="J844" s="8" t="n"/>
      <c r="K844" s="9" t="n"/>
      <c r="L844" s="8" t="n"/>
      <c r="M844" s="9" t="n"/>
      <c r="N844" s="8" t="n"/>
      <c r="O844" s="9" t="n"/>
      <c r="P844" s="12">
        <f>IF(C844="","",C844-SUM(K844,M844,O844))</f>
        <v/>
      </c>
      <c r="Q844" s="13">
        <f>IF(A844="","",IF(P844&lt;=0,"eingelöst",IF(AND(I844&lt;&gt;"",TODAY()&gt;I844),"abgelaufen",IF(P844&lt;C844,"teilweise","offen"))))</f>
        <v/>
      </c>
    </row>
    <row r="845">
      <c r="A845" s="7" t="n"/>
      <c r="B845" s="8" t="n"/>
      <c r="C845" s="9" t="n"/>
      <c r="D845" s="10" t="n"/>
      <c r="E845" s="10" t="n"/>
      <c r="F845" s="10" t="n"/>
      <c r="G845" s="10" t="n"/>
      <c r="H845" s="10" t="n"/>
      <c r="I845" s="11">
        <f>IF(B845="","",DATE(YEAR(B845)+3,12,31))</f>
        <v/>
      </c>
      <c r="J845" s="8" t="n"/>
      <c r="K845" s="9" t="n"/>
      <c r="L845" s="8" t="n"/>
      <c r="M845" s="9" t="n"/>
      <c r="N845" s="8" t="n"/>
      <c r="O845" s="9" t="n"/>
      <c r="P845" s="12">
        <f>IF(C845="","",C845-SUM(K845,M845,O845))</f>
        <v/>
      </c>
      <c r="Q845" s="13">
        <f>IF(A845="","",IF(P845&lt;=0,"eingelöst",IF(AND(I845&lt;&gt;"",TODAY()&gt;I845),"abgelaufen",IF(P845&lt;C845,"teilweise","offen"))))</f>
        <v/>
      </c>
    </row>
    <row r="846">
      <c r="A846" s="7" t="n"/>
      <c r="B846" s="8" t="n"/>
      <c r="C846" s="9" t="n"/>
      <c r="D846" s="10" t="n"/>
      <c r="E846" s="10" t="n"/>
      <c r="F846" s="10" t="n"/>
      <c r="G846" s="10" t="n"/>
      <c r="H846" s="10" t="n"/>
      <c r="I846" s="11">
        <f>IF(B846="","",DATE(YEAR(B846)+3,12,31))</f>
        <v/>
      </c>
      <c r="J846" s="8" t="n"/>
      <c r="K846" s="9" t="n"/>
      <c r="L846" s="8" t="n"/>
      <c r="M846" s="9" t="n"/>
      <c r="N846" s="8" t="n"/>
      <c r="O846" s="9" t="n"/>
      <c r="P846" s="12">
        <f>IF(C846="","",C846-SUM(K846,M846,O846))</f>
        <v/>
      </c>
      <c r="Q846" s="13">
        <f>IF(A846="","",IF(P846&lt;=0,"eingelöst",IF(AND(I846&lt;&gt;"",TODAY()&gt;I846),"abgelaufen",IF(P846&lt;C846,"teilweise","offen"))))</f>
        <v/>
      </c>
    </row>
    <row r="847">
      <c r="A847" s="7" t="n"/>
      <c r="B847" s="8" t="n"/>
      <c r="C847" s="9" t="n"/>
      <c r="D847" s="10" t="n"/>
      <c r="E847" s="10" t="n"/>
      <c r="F847" s="10" t="n"/>
      <c r="G847" s="10" t="n"/>
      <c r="H847" s="10" t="n"/>
      <c r="I847" s="11">
        <f>IF(B847="","",DATE(YEAR(B847)+3,12,31))</f>
        <v/>
      </c>
      <c r="J847" s="8" t="n"/>
      <c r="K847" s="9" t="n"/>
      <c r="L847" s="8" t="n"/>
      <c r="M847" s="9" t="n"/>
      <c r="N847" s="8" t="n"/>
      <c r="O847" s="9" t="n"/>
      <c r="P847" s="12">
        <f>IF(C847="","",C847-SUM(K847,M847,O847))</f>
        <v/>
      </c>
      <c r="Q847" s="13">
        <f>IF(A847="","",IF(P847&lt;=0,"eingelöst",IF(AND(I847&lt;&gt;"",TODAY()&gt;I847),"abgelaufen",IF(P847&lt;C847,"teilweise","offen"))))</f>
        <v/>
      </c>
    </row>
    <row r="848">
      <c r="A848" s="7" t="n"/>
      <c r="B848" s="8" t="n"/>
      <c r="C848" s="9" t="n"/>
      <c r="D848" s="10" t="n"/>
      <c r="E848" s="10" t="n"/>
      <c r="F848" s="10" t="n"/>
      <c r="G848" s="10" t="n"/>
      <c r="H848" s="10" t="n"/>
      <c r="I848" s="11">
        <f>IF(B848="","",DATE(YEAR(B848)+3,12,31))</f>
        <v/>
      </c>
      <c r="J848" s="8" t="n"/>
      <c r="K848" s="9" t="n"/>
      <c r="L848" s="8" t="n"/>
      <c r="M848" s="9" t="n"/>
      <c r="N848" s="8" t="n"/>
      <c r="O848" s="9" t="n"/>
      <c r="P848" s="12">
        <f>IF(C848="","",C848-SUM(K848,M848,O848))</f>
        <v/>
      </c>
      <c r="Q848" s="13">
        <f>IF(A848="","",IF(P848&lt;=0,"eingelöst",IF(AND(I848&lt;&gt;"",TODAY()&gt;I848),"abgelaufen",IF(P848&lt;C848,"teilweise","offen"))))</f>
        <v/>
      </c>
    </row>
    <row r="849">
      <c r="A849" s="7" t="n"/>
      <c r="B849" s="8" t="n"/>
      <c r="C849" s="9" t="n"/>
      <c r="D849" s="10" t="n"/>
      <c r="E849" s="10" t="n"/>
      <c r="F849" s="10" t="n"/>
      <c r="G849" s="10" t="n"/>
      <c r="H849" s="10" t="n"/>
      <c r="I849" s="11">
        <f>IF(B849="","",DATE(YEAR(B849)+3,12,31))</f>
        <v/>
      </c>
      <c r="J849" s="8" t="n"/>
      <c r="K849" s="9" t="n"/>
      <c r="L849" s="8" t="n"/>
      <c r="M849" s="9" t="n"/>
      <c r="N849" s="8" t="n"/>
      <c r="O849" s="9" t="n"/>
      <c r="P849" s="12">
        <f>IF(C849="","",C849-SUM(K849,M849,O849))</f>
        <v/>
      </c>
      <c r="Q849" s="13">
        <f>IF(A849="","",IF(P849&lt;=0,"eingelöst",IF(AND(I849&lt;&gt;"",TODAY()&gt;I849),"abgelaufen",IF(P849&lt;C849,"teilweise","offen"))))</f>
        <v/>
      </c>
    </row>
    <row r="850">
      <c r="A850" s="7" t="n"/>
      <c r="B850" s="8" t="n"/>
      <c r="C850" s="9" t="n"/>
      <c r="D850" s="10" t="n"/>
      <c r="E850" s="10" t="n"/>
      <c r="F850" s="10" t="n"/>
      <c r="G850" s="10" t="n"/>
      <c r="H850" s="10" t="n"/>
      <c r="I850" s="11">
        <f>IF(B850="","",DATE(YEAR(B850)+3,12,31))</f>
        <v/>
      </c>
      <c r="J850" s="8" t="n"/>
      <c r="K850" s="9" t="n"/>
      <c r="L850" s="8" t="n"/>
      <c r="M850" s="9" t="n"/>
      <c r="N850" s="8" t="n"/>
      <c r="O850" s="9" t="n"/>
      <c r="P850" s="12">
        <f>IF(C850="","",C850-SUM(K850,M850,O850))</f>
        <v/>
      </c>
      <c r="Q850" s="13">
        <f>IF(A850="","",IF(P850&lt;=0,"eingelöst",IF(AND(I850&lt;&gt;"",TODAY()&gt;I850),"abgelaufen",IF(P850&lt;C850,"teilweise","offen"))))</f>
        <v/>
      </c>
    </row>
    <row r="851">
      <c r="A851" s="7" t="n"/>
      <c r="B851" s="8" t="n"/>
      <c r="C851" s="9" t="n"/>
      <c r="D851" s="10" t="n"/>
      <c r="E851" s="10" t="n"/>
      <c r="F851" s="10" t="n"/>
      <c r="G851" s="10" t="n"/>
      <c r="H851" s="10" t="n"/>
      <c r="I851" s="11">
        <f>IF(B851="","",DATE(YEAR(B851)+3,12,31))</f>
        <v/>
      </c>
      <c r="J851" s="8" t="n"/>
      <c r="K851" s="9" t="n"/>
      <c r="L851" s="8" t="n"/>
      <c r="M851" s="9" t="n"/>
      <c r="N851" s="8" t="n"/>
      <c r="O851" s="9" t="n"/>
      <c r="P851" s="12">
        <f>IF(C851="","",C851-SUM(K851,M851,O851))</f>
        <v/>
      </c>
      <c r="Q851" s="13">
        <f>IF(A851="","",IF(P851&lt;=0,"eingelöst",IF(AND(I851&lt;&gt;"",TODAY()&gt;I851),"abgelaufen",IF(P851&lt;C851,"teilweise","offen"))))</f>
        <v/>
      </c>
    </row>
    <row r="852">
      <c r="A852" s="7" t="n"/>
      <c r="B852" s="8" t="n"/>
      <c r="C852" s="9" t="n"/>
      <c r="D852" s="10" t="n"/>
      <c r="E852" s="10" t="n"/>
      <c r="F852" s="10" t="n"/>
      <c r="G852" s="10" t="n"/>
      <c r="H852" s="10" t="n"/>
      <c r="I852" s="11">
        <f>IF(B852="","",DATE(YEAR(B852)+3,12,31))</f>
        <v/>
      </c>
      <c r="J852" s="8" t="n"/>
      <c r="K852" s="9" t="n"/>
      <c r="L852" s="8" t="n"/>
      <c r="M852" s="9" t="n"/>
      <c r="N852" s="8" t="n"/>
      <c r="O852" s="9" t="n"/>
      <c r="P852" s="12">
        <f>IF(C852="","",C852-SUM(K852,M852,O852))</f>
        <v/>
      </c>
      <c r="Q852" s="13">
        <f>IF(A852="","",IF(P852&lt;=0,"eingelöst",IF(AND(I852&lt;&gt;"",TODAY()&gt;I852),"abgelaufen",IF(P852&lt;C852,"teilweise","offen"))))</f>
        <v/>
      </c>
    </row>
    <row r="853">
      <c r="A853" s="7" t="n"/>
      <c r="B853" s="8" t="n"/>
      <c r="C853" s="9" t="n"/>
      <c r="D853" s="10" t="n"/>
      <c r="E853" s="10" t="n"/>
      <c r="F853" s="10" t="n"/>
      <c r="G853" s="10" t="n"/>
      <c r="H853" s="10" t="n"/>
      <c r="I853" s="11">
        <f>IF(B853="","",DATE(YEAR(B853)+3,12,31))</f>
        <v/>
      </c>
      <c r="J853" s="8" t="n"/>
      <c r="K853" s="9" t="n"/>
      <c r="L853" s="8" t="n"/>
      <c r="M853" s="9" t="n"/>
      <c r="N853" s="8" t="n"/>
      <c r="O853" s="9" t="n"/>
      <c r="P853" s="12">
        <f>IF(C853="","",C853-SUM(K853,M853,O853))</f>
        <v/>
      </c>
      <c r="Q853" s="13">
        <f>IF(A853="","",IF(P853&lt;=0,"eingelöst",IF(AND(I853&lt;&gt;"",TODAY()&gt;I853),"abgelaufen",IF(P853&lt;C853,"teilweise","offen"))))</f>
        <v/>
      </c>
    </row>
    <row r="854">
      <c r="A854" s="7" t="n"/>
      <c r="B854" s="8" t="n"/>
      <c r="C854" s="9" t="n"/>
      <c r="D854" s="10" t="n"/>
      <c r="E854" s="10" t="n"/>
      <c r="F854" s="10" t="n"/>
      <c r="G854" s="10" t="n"/>
      <c r="H854" s="10" t="n"/>
      <c r="I854" s="11">
        <f>IF(B854="","",DATE(YEAR(B854)+3,12,31))</f>
        <v/>
      </c>
      <c r="J854" s="8" t="n"/>
      <c r="K854" s="9" t="n"/>
      <c r="L854" s="8" t="n"/>
      <c r="M854" s="9" t="n"/>
      <c r="N854" s="8" t="n"/>
      <c r="O854" s="9" t="n"/>
      <c r="P854" s="12">
        <f>IF(C854="","",C854-SUM(K854,M854,O854))</f>
        <v/>
      </c>
      <c r="Q854" s="13">
        <f>IF(A854="","",IF(P854&lt;=0,"eingelöst",IF(AND(I854&lt;&gt;"",TODAY()&gt;I854),"abgelaufen",IF(P854&lt;C854,"teilweise","offen"))))</f>
        <v/>
      </c>
    </row>
    <row r="855">
      <c r="A855" s="7" t="n"/>
      <c r="B855" s="8" t="n"/>
      <c r="C855" s="9" t="n"/>
      <c r="D855" s="10" t="n"/>
      <c r="E855" s="10" t="n"/>
      <c r="F855" s="10" t="n"/>
      <c r="G855" s="10" t="n"/>
      <c r="H855" s="10" t="n"/>
      <c r="I855" s="11">
        <f>IF(B855="","",DATE(YEAR(B855)+3,12,31))</f>
        <v/>
      </c>
      <c r="J855" s="8" t="n"/>
      <c r="K855" s="9" t="n"/>
      <c r="L855" s="8" t="n"/>
      <c r="M855" s="9" t="n"/>
      <c r="N855" s="8" t="n"/>
      <c r="O855" s="9" t="n"/>
      <c r="P855" s="12">
        <f>IF(C855="","",C855-SUM(K855,M855,O855))</f>
        <v/>
      </c>
      <c r="Q855" s="13">
        <f>IF(A855="","",IF(P855&lt;=0,"eingelöst",IF(AND(I855&lt;&gt;"",TODAY()&gt;I855),"abgelaufen",IF(P855&lt;C855,"teilweise","offen"))))</f>
        <v/>
      </c>
    </row>
    <row r="856">
      <c r="A856" s="7" t="n"/>
      <c r="B856" s="8" t="n"/>
      <c r="C856" s="9" t="n"/>
      <c r="D856" s="10" t="n"/>
      <c r="E856" s="10" t="n"/>
      <c r="F856" s="10" t="n"/>
      <c r="G856" s="10" t="n"/>
      <c r="H856" s="10" t="n"/>
      <c r="I856" s="11">
        <f>IF(B856="","",DATE(YEAR(B856)+3,12,31))</f>
        <v/>
      </c>
      <c r="J856" s="8" t="n"/>
      <c r="K856" s="9" t="n"/>
      <c r="L856" s="8" t="n"/>
      <c r="M856" s="9" t="n"/>
      <c r="N856" s="8" t="n"/>
      <c r="O856" s="9" t="n"/>
      <c r="P856" s="12">
        <f>IF(C856="","",C856-SUM(K856,M856,O856))</f>
        <v/>
      </c>
      <c r="Q856" s="13">
        <f>IF(A856="","",IF(P856&lt;=0,"eingelöst",IF(AND(I856&lt;&gt;"",TODAY()&gt;I856),"abgelaufen",IF(P856&lt;C856,"teilweise","offen"))))</f>
        <v/>
      </c>
    </row>
    <row r="857">
      <c r="A857" s="7" t="n"/>
      <c r="B857" s="8" t="n"/>
      <c r="C857" s="9" t="n"/>
      <c r="D857" s="10" t="n"/>
      <c r="E857" s="10" t="n"/>
      <c r="F857" s="10" t="n"/>
      <c r="G857" s="10" t="n"/>
      <c r="H857" s="10" t="n"/>
      <c r="I857" s="11">
        <f>IF(B857="","",DATE(YEAR(B857)+3,12,31))</f>
        <v/>
      </c>
      <c r="J857" s="8" t="n"/>
      <c r="K857" s="9" t="n"/>
      <c r="L857" s="8" t="n"/>
      <c r="M857" s="9" t="n"/>
      <c r="N857" s="8" t="n"/>
      <c r="O857" s="9" t="n"/>
      <c r="P857" s="12">
        <f>IF(C857="","",C857-SUM(K857,M857,O857))</f>
        <v/>
      </c>
      <c r="Q857" s="13">
        <f>IF(A857="","",IF(P857&lt;=0,"eingelöst",IF(AND(I857&lt;&gt;"",TODAY()&gt;I857),"abgelaufen",IF(P857&lt;C857,"teilweise","offen"))))</f>
        <v/>
      </c>
    </row>
    <row r="858">
      <c r="A858" s="7" t="n"/>
      <c r="B858" s="8" t="n"/>
      <c r="C858" s="9" t="n"/>
      <c r="D858" s="10" t="n"/>
      <c r="E858" s="10" t="n"/>
      <c r="F858" s="10" t="n"/>
      <c r="G858" s="10" t="n"/>
      <c r="H858" s="10" t="n"/>
      <c r="I858" s="11">
        <f>IF(B858="","",DATE(YEAR(B858)+3,12,31))</f>
        <v/>
      </c>
      <c r="J858" s="8" t="n"/>
      <c r="K858" s="9" t="n"/>
      <c r="L858" s="8" t="n"/>
      <c r="M858" s="9" t="n"/>
      <c r="N858" s="8" t="n"/>
      <c r="O858" s="9" t="n"/>
      <c r="P858" s="12">
        <f>IF(C858="","",C858-SUM(K858,M858,O858))</f>
        <v/>
      </c>
      <c r="Q858" s="13">
        <f>IF(A858="","",IF(P858&lt;=0,"eingelöst",IF(AND(I858&lt;&gt;"",TODAY()&gt;I858),"abgelaufen",IF(P858&lt;C858,"teilweise","offen"))))</f>
        <v/>
      </c>
    </row>
    <row r="859">
      <c r="A859" s="7" t="n"/>
      <c r="B859" s="8" t="n"/>
      <c r="C859" s="9" t="n"/>
      <c r="D859" s="10" t="n"/>
      <c r="E859" s="10" t="n"/>
      <c r="F859" s="10" t="n"/>
      <c r="G859" s="10" t="n"/>
      <c r="H859" s="10" t="n"/>
      <c r="I859" s="11">
        <f>IF(B859="","",DATE(YEAR(B859)+3,12,31))</f>
        <v/>
      </c>
      <c r="J859" s="8" t="n"/>
      <c r="K859" s="9" t="n"/>
      <c r="L859" s="8" t="n"/>
      <c r="M859" s="9" t="n"/>
      <c r="N859" s="8" t="n"/>
      <c r="O859" s="9" t="n"/>
      <c r="P859" s="12">
        <f>IF(C859="","",C859-SUM(K859,M859,O859))</f>
        <v/>
      </c>
      <c r="Q859" s="13">
        <f>IF(A859="","",IF(P859&lt;=0,"eingelöst",IF(AND(I859&lt;&gt;"",TODAY()&gt;I859),"abgelaufen",IF(P859&lt;C859,"teilweise","offen"))))</f>
        <v/>
      </c>
    </row>
    <row r="860">
      <c r="A860" s="7" t="n"/>
      <c r="B860" s="8" t="n"/>
      <c r="C860" s="9" t="n"/>
      <c r="D860" s="10" t="n"/>
      <c r="E860" s="10" t="n"/>
      <c r="F860" s="10" t="n"/>
      <c r="G860" s="10" t="n"/>
      <c r="H860" s="10" t="n"/>
      <c r="I860" s="11">
        <f>IF(B860="","",DATE(YEAR(B860)+3,12,31))</f>
        <v/>
      </c>
      <c r="J860" s="8" t="n"/>
      <c r="K860" s="9" t="n"/>
      <c r="L860" s="8" t="n"/>
      <c r="M860" s="9" t="n"/>
      <c r="N860" s="8" t="n"/>
      <c r="O860" s="9" t="n"/>
      <c r="P860" s="12">
        <f>IF(C860="","",C860-SUM(K860,M860,O860))</f>
        <v/>
      </c>
      <c r="Q860" s="13">
        <f>IF(A860="","",IF(P860&lt;=0,"eingelöst",IF(AND(I860&lt;&gt;"",TODAY()&gt;I860),"abgelaufen",IF(P860&lt;C860,"teilweise","offen"))))</f>
        <v/>
      </c>
    </row>
    <row r="861">
      <c r="A861" s="7" t="n"/>
      <c r="B861" s="8" t="n"/>
      <c r="C861" s="9" t="n"/>
      <c r="D861" s="10" t="n"/>
      <c r="E861" s="10" t="n"/>
      <c r="F861" s="10" t="n"/>
      <c r="G861" s="10" t="n"/>
      <c r="H861" s="10" t="n"/>
      <c r="I861" s="11">
        <f>IF(B861="","",DATE(YEAR(B861)+3,12,31))</f>
        <v/>
      </c>
      <c r="J861" s="8" t="n"/>
      <c r="K861" s="9" t="n"/>
      <c r="L861" s="8" t="n"/>
      <c r="M861" s="9" t="n"/>
      <c r="N861" s="8" t="n"/>
      <c r="O861" s="9" t="n"/>
      <c r="P861" s="12">
        <f>IF(C861="","",C861-SUM(K861,M861,O861))</f>
        <v/>
      </c>
      <c r="Q861" s="13">
        <f>IF(A861="","",IF(P861&lt;=0,"eingelöst",IF(AND(I861&lt;&gt;"",TODAY()&gt;I861),"abgelaufen",IF(P861&lt;C861,"teilweise","offen"))))</f>
        <v/>
      </c>
    </row>
    <row r="862">
      <c r="A862" s="7" t="n"/>
      <c r="B862" s="8" t="n"/>
      <c r="C862" s="9" t="n"/>
      <c r="D862" s="10" t="n"/>
      <c r="E862" s="10" t="n"/>
      <c r="F862" s="10" t="n"/>
      <c r="G862" s="10" t="n"/>
      <c r="H862" s="10" t="n"/>
      <c r="I862" s="11">
        <f>IF(B862="","",DATE(YEAR(B862)+3,12,31))</f>
        <v/>
      </c>
      <c r="J862" s="8" t="n"/>
      <c r="K862" s="9" t="n"/>
      <c r="L862" s="8" t="n"/>
      <c r="M862" s="9" t="n"/>
      <c r="N862" s="8" t="n"/>
      <c r="O862" s="9" t="n"/>
      <c r="P862" s="12">
        <f>IF(C862="","",C862-SUM(K862,M862,O862))</f>
        <v/>
      </c>
      <c r="Q862" s="13">
        <f>IF(A862="","",IF(P862&lt;=0,"eingelöst",IF(AND(I862&lt;&gt;"",TODAY()&gt;I862),"abgelaufen",IF(P862&lt;C862,"teilweise","offen"))))</f>
        <v/>
      </c>
    </row>
    <row r="863">
      <c r="A863" s="7" t="n"/>
      <c r="B863" s="8" t="n"/>
      <c r="C863" s="9" t="n"/>
      <c r="D863" s="10" t="n"/>
      <c r="E863" s="10" t="n"/>
      <c r="F863" s="10" t="n"/>
      <c r="G863" s="10" t="n"/>
      <c r="H863" s="10" t="n"/>
      <c r="I863" s="11">
        <f>IF(B863="","",DATE(YEAR(B863)+3,12,31))</f>
        <v/>
      </c>
      <c r="J863" s="8" t="n"/>
      <c r="K863" s="9" t="n"/>
      <c r="L863" s="8" t="n"/>
      <c r="M863" s="9" t="n"/>
      <c r="N863" s="8" t="n"/>
      <c r="O863" s="9" t="n"/>
      <c r="P863" s="12">
        <f>IF(C863="","",C863-SUM(K863,M863,O863))</f>
        <v/>
      </c>
      <c r="Q863" s="13">
        <f>IF(A863="","",IF(P863&lt;=0,"eingelöst",IF(AND(I863&lt;&gt;"",TODAY()&gt;I863),"abgelaufen",IF(P863&lt;C863,"teilweise","offen"))))</f>
        <v/>
      </c>
    </row>
    <row r="864">
      <c r="A864" s="7" t="n"/>
      <c r="B864" s="8" t="n"/>
      <c r="C864" s="9" t="n"/>
      <c r="D864" s="10" t="n"/>
      <c r="E864" s="10" t="n"/>
      <c r="F864" s="10" t="n"/>
      <c r="G864" s="10" t="n"/>
      <c r="H864" s="10" t="n"/>
      <c r="I864" s="11">
        <f>IF(B864="","",DATE(YEAR(B864)+3,12,31))</f>
        <v/>
      </c>
      <c r="J864" s="8" t="n"/>
      <c r="K864" s="9" t="n"/>
      <c r="L864" s="8" t="n"/>
      <c r="M864" s="9" t="n"/>
      <c r="N864" s="8" t="n"/>
      <c r="O864" s="9" t="n"/>
      <c r="P864" s="12">
        <f>IF(C864="","",C864-SUM(K864,M864,O864))</f>
        <v/>
      </c>
      <c r="Q864" s="13">
        <f>IF(A864="","",IF(P864&lt;=0,"eingelöst",IF(AND(I864&lt;&gt;"",TODAY()&gt;I864),"abgelaufen",IF(P864&lt;C864,"teilweise","offen"))))</f>
        <v/>
      </c>
    </row>
    <row r="865">
      <c r="A865" s="7" t="n"/>
      <c r="B865" s="8" t="n"/>
      <c r="C865" s="9" t="n"/>
      <c r="D865" s="10" t="n"/>
      <c r="E865" s="10" t="n"/>
      <c r="F865" s="10" t="n"/>
      <c r="G865" s="10" t="n"/>
      <c r="H865" s="10" t="n"/>
      <c r="I865" s="11">
        <f>IF(B865="","",DATE(YEAR(B865)+3,12,31))</f>
        <v/>
      </c>
      <c r="J865" s="8" t="n"/>
      <c r="K865" s="9" t="n"/>
      <c r="L865" s="8" t="n"/>
      <c r="M865" s="9" t="n"/>
      <c r="N865" s="8" t="n"/>
      <c r="O865" s="9" t="n"/>
      <c r="P865" s="12">
        <f>IF(C865="","",C865-SUM(K865,M865,O865))</f>
        <v/>
      </c>
      <c r="Q865" s="13">
        <f>IF(A865="","",IF(P865&lt;=0,"eingelöst",IF(AND(I865&lt;&gt;"",TODAY()&gt;I865),"abgelaufen",IF(P865&lt;C865,"teilweise","offen"))))</f>
        <v/>
      </c>
    </row>
    <row r="866">
      <c r="A866" s="7" t="n"/>
      <c r="B866" s="8" t="n"/>
      <c r="C866" s="9" t="n"/>
      <c r="D866" s="10" t="n"/>
      <c r="E866" s="10" t="n"/>
      <c r="F866" s="10" t="n"/>
      <c r="G866" s="10" t="n"/>
      <c r="H866" s="10" t="n"/>
      <c r="I866" s="11">
        <f>IF(B866="","",DATE(YEAR(B866)+3,12,31))</f>
        <v/>
      </c>
      <c r="J866" s="8" t="n"/>
      <c r="K866" s="9" t="n"/>
      <c r="L866" s="8" t="n"/>
      <c r="M866" s="9" t="n"/>
      <c r="N866" s="8" t="n"/>
      <c r="O866" s="9" t="n"/>
      <c r="P866" s="12">
        <f>IF(C866="","",C866-SUM(K866,M866,O866))</f>
        <v/>
      </c>
      <c r="Q866" s="13">
        <f>IF(A866="","",IF(P866&lt;=0,"eingelöst",IF(AND(I866&lt;&gt;"",TODAY()&gt;I866),"abgelaufen",IF(P866&lt;C866,"teilweise","offen"))))</f>
        <v/>
      </c>
    </row>
    <row r="867">
      <c r="A867" s="7" t="n"/>
      <c r="B867" s="8" t="n"/>
      <c r="C867" s="9" t="n"/>
      <c r="D867" s="10" t="n"/>
      <c r="E867" s="10" t="n"/>
      <c r="F867" s="10" t="n"/>
      <c r="G867" s="10" t="n"/>
      <c r="H867" s="10" t="n"/>
      <c r="I867" s="11">
        <f>IF(B867="","",DATE(YEAR(B867)+3,12,31))</f>
        <v/>
      </c>
      <c r="J867" s="8" t="n"/>
      <c r="K867" s="9" t="n"/>
      <c r="L867" s="8" t="n"/>
      <c r="M867" s="9" t="n"/>
      <c r="N867" s="8" t="n"/>
      <c r="O867" s="9" t="n"/>
      <c r="P867" s="12">
        <f>IF(C867="","",C867-SUM(K867,M867,O867))</f>
        <v/>
      </c>
      <c r="Q867" s="13">
        <f>IF(A867="","",IF(P867&lt;=0,"eingelöst",IF(AND(I867&lt;&gt;"",TODAY()&gt;I867),"abgelaufen",IF(P867&lt;C867,"teilweise","offen"))))</f>
        <v/>
      </c>
    </row>
    <row r="868">
      <c r="A868" s="7" t="n"/>
      <c r="B868" s="8" t="n"/>
      <c r="C868" s="9" t="n"/>
      <c r="D868" s="10" t="n"/>
      <c r="E868" s="10" t="n"/>
      <c r="F868" s="10" t="n"/>
      <c r="G868" s="10" t="n"/>
      <c r="H868" s="10" t="n"/>
      <c r="I868" s="11">
        <f>IF(B868="","",DATE(YEAR(B868)+3,12,31))</f>
        <v/>
      </c>
      <c r="J868" s="8" t="n"/>
      <c r="K868" s="9" t="n"/>
      <c r="L868" s="8" t="n"/>
      <c r="M868" s="9" t="n"/>
      <c r="N868" s="8" t="n"/>
      <c r="O868" s="9" t="n"/>
      <c r="P868" s="12">
        <f>IF(C868="","",C868-SUM(K868,M868,O868))</f>
        <v/>
      </c>
      <c r="Q868" s="13">
        <f>IF(A868="","",IF(P868&lt;=0,"eingelöst",IF(AND(I868&lt;&gt;"",TODAY()&gt;I868),"abgelaufen",IF(P868&lt;C868,"teilweise","offen"))))</f>
        <v/>
      </c>
    </row>
    <row r="869">
      <c r="A869" s="7" t="n"/>
      <c r="B869" s="8" t="n"/>
      <c r="C869" s="9" t="n"/>
      <c r="D869" s="10" t="n"/>
      <c r="E869" s="10" t="n"/>
      <c r="F869" s="10" t="n"/>
      <c r="G869" s="10" t="n"/>
      <c r="H869" s="10" t="n"/>
      <c r="I869" s="11">
        <f>IF(B869="","",DATE(YEAR(B869)+3,12,31))</f>
        <v/>
      </c>
      <c r="J869" s="8" t="n"/>
      <c r="K869" s="9" t="n"/>
      <c r="L869" s="8" t="n"/>
      <c r="M869" s="9" t="n"/>
      <c r="N869" s="8" t="n"/>
      <c r="O869" s="9" t="n"/>
      <c r="P869" s="12">
        <f>IF(C869="","",C869-SUM(K869,M869,O869))</f>
        <v/>
      </c>
      <c r="Q869" s="13">
        <f>IF(A869="","",IF(P869&lt;=0,"eingelöst",IF(AND(I869&lt;&gt;"",TODAY()&gt;I869),"abgelaufen",IF(P869&lt;C869,"teilweise","offen"))))</f>
        <v/>
      </c>
    </row>
    <row r="870">
      <c r="A870" s="7" t="n"/>
      <c r="B870" s="8" t="n"/>
      <c r="C870" s="9" t="n"/>
      <c r="D870" s="10" t="n"/>
      <c r="E870" s="10" t="n"/>
      <c r="F870" s="10" t="n"/>
      <c r="G870" s="10" t="n"/>
      <c r="H870" s="10" t="n"/>
      <c r="I870" s="11">
        <f>IF(B870="","",DATE(YEAR(B870)+3,12,31))</f>
        <v/>
      </c>
      <c r="J870" s="8" t="n"/>
      <c r="K870" s="9" t="n"/>
      <c r="L870" s="8" t="n"/>
      <c r="M870" s="9" t="n"/>
      <c r="N870" s="8" t="n"/>
      <c r="O870" s="9" t="n"/>
      <c r="P870" s="12">
        <f>IF(C870="","",C870-SUM(K870,M870,O870))</f>
        <v/>
      </c>
      <c r="Q870" s="13">
        <f>IF(A870="","",IF(P870&lt;=0,"eingelöst",IF(AND(I870&lt;&gt;"",TODAY()&gt;I870),"abgelaufen",IF(P870&lt;C870,"teilweise","offen"))))</f>
        <v/>
      </c>
    </row>
    <row r="871">
      <c r="A871" s="7" t="n"/>
      <c r="B871" s="8" t="n"/>
      <c r="C871" s="9" t="n"/>
      <c r="D871" s="10" t="n"/>
      <c r="E871" s="10" t="n"/>
      <c r="F871" s="10" t="n"/>
      <c r="G871" s="10" t="n"/>
      <c r="H871" s="10" t="n"/>
      <c r="I871" s="11">
        <f>IF(B871="","",DATE(YEAR(B871)+3,12,31))</f>
        <v/>
      </c>
      <c r="J871" s="8" t="n"/>
      <c r="K871" s="9" t="n"/>
      <c r="L871" s="8" t="n"/>
      <c r="M871" s="9" t="n"/>
      <c r="N871" s="8" t="n"/>
      <c r="O871" s="9" t="n"/>
      <c r="P871" s="12">
        <f>IF(C871="","",C871-SUM(K871,M871,O871))</f>
        <v/>
      </c>
      <c r="Q871" s="13">
        <f>IF(A871="","",IF(P871&lt;=0,"eingelöst",IF(AND(I871&lt;&gt;"",TODAY()&gt;I871),"abgelaufen",IF(P871&lt;C871,"teilweise","offen"))))</f>
        <v/>
      </c>
    </row>
    <row r="872">
      <c r="A872" s="7" t="n"/>
      <c r="B872" s="8" t="n"/>
      <c r="C872" s="9" t="n"/>
      <c r="D872" s="10" t="n"/>
      <c r="E872" s="10" t="n"/>
      <c r="F872" s="10" t="n"/>
      <c r="G872" s="10" t="n"/>
      <c r="H872" s="10" t="n"/>
      <c r="I872" s="11">
        <f>IF(B872="","",DATE(YEAR(B872)+3,12,31))</f>
        <v/>
      </c>
      <c r="J872" s="8" t="n"/>
      <c r="K872" s="9" t="n"/>
      <c r="L872" s="8" t="n"/>
      <c r="M872" s="9" t="n"/>
      <c r="N872" s="8" t="n"/>
      <c r="O872" s="9" t="n"/>
      <c r="P872" s="12">
        <f>IF(C872="","",C872-SUM(K872,M872,O872))</f>
        <v/>
      </c>
      <c r="Q872" s="13">
        <f>IF(A872="","",IF(P872&lt;=0,"eingelöst",IF(AND(I872&lt;&gt;"",TODAY()&gt;I872),"abgelaufen",IF(P872&lt;C872,"teilweise","offen"))))</f>
        <v/>
      </c>
    </row>
    <row r="873">
      <c r="A873" s="7" t="n"/>
      <c r="B873" s="8" t="n"/>
      <c r="C873" s="9" t="n"/>
      <c r="D873" s="10" t="n"/>
      <c r="E873" s="10" t="n"/>
      <c r="F873" s="10" t="n"/>
      <c r="G873" s="10" t="n"/>
      <c r="H873" s="10" t="n"/>
      <c r="I873" s="11">
        <f>IF(B873="","",DATE(YEAR(B873)+3,12,31))</f>
        <v/>
      </c>
      <c r="J873" s="8" t="n"/>
      <c r="K873" s="9" t="n"/>
      <c r="L873" s="8" t="n"/>
      <c r="M873" s="9" t="n"/>
      <c r="N873" s="8" t="n"/>
      <c r="O873" s="9" t="n"/>
      <c r="P873" s="12">
        <f>IF(C873="","",C873-SUM(K873,M873,O873))</f>
        <v/>
      </c>
      <c r="Q873" s="13">
        <f>IF(A873="","",IF(P873&lt;=0,"eingelöst",IF(AND(I873&lt;&gt;"",TODAY()&gt;I873),"abgelaufen",IF(P873&lt;C873,"teilweise","offen"))))</f>
        <v/>
      </c>
    </row>
    <row r="874">
      <c r="A874" s="7" t="n"/>
      <c r="B874" s="8" t="n"/>
      <c r="C874" s="9" t="n"/>
      <c r="D874" s="10" t="n"/>
      <c r="E874" s="10" t="n"/>
      <c r="F874" s="10" t="n"/>
      <c r="G874" s="10" t="n"/>
      <c r="H874" s="10" t="n"/>
      <c r="I874" s="11">
        <f>IF(B874="","",DATE(YEAR(B874)+3,12,31))</f>
        <v/>
      </c>
      <c r="J874" s="8" t="n"/>
      <c r="K874" s="9" t="n"/>
      <c r="L874" s="8" t="n"/>
      <c r="M874" s="9" t="n"/>
      <c r="N874" s="8" t="n"/>
      <c r="O874" s="9" t="n"/>
      <c r="P874" s="12">
        <f>IF(C874="","",C874-SUM(K874,M874,O874))</f>
        <v/>
      </c>
      <c r="Q874" s="13">
        <f>IF(A874="","",IF(P874&lt;=0,"eingelöst",IF(AND(I874&lt;&gt;"",TODAY()&gt;I874),"abgelaufen",IF(P874&lt;C874,"teilweise","offen"))))</f>
        <v/>
      </c>
    </row>
    <row r="875">
      <c r="A875" s="7" t="n"/>
      <c r="B875" s="8" t="n"/>
      <c r="C875" s="9" t="n"/>
      <c r="D875" s="10" t="n"/>
      <c r="E875" s="10" t="n"/>
      <c r="F875" s="10" t="n"/>
      <c r="G875" s="10" t="n"/>
      <c r="H875" s="10" t="n"/>
      <c r="I875" s="11">
        <f>IF(B875="","",DATE(YEAR(B875)+3,12,31))</f>
        <v/>
      </c>
      <c r="J875" s="8" t="n"/>
      <c r="K875" s="9" t="n"/>
      <c r="L875" s="8" t="n"/>
      <c r="M875" s="9" t="n"/>
      <c r="N875" s="8" t="n"/>
      <c r="O875" s="9" t="n"/>
      <c r="P875" s="12">
        <f>IF(C875="","",C875-SUM(K875,M875,O875))</f>
        <v/>
      </c>
      <c r="Q875" s="13">
        <f>IF(A875="","",IF(P875&lt;=0,"eingelöst",IF(AND(I875&lt;&gt;"",TODAY()&gt;I875),"abgelaufen",IF(P875&lt;C875,"teilweise","offen"))))</f>
        <v/>
      </c>
    </row>
    <row r="876">
      <c r="A876" s="7" t="n"/>
      <c r="B876" s="8" t="n"/>
      <c r="C876" s="9" t="n"/>
      <c r="D876" s="10" t="n"/>
      <c r="E876" s="10" t="n"/>
      <c r="F876" s="10" t="n"/>
      <c r="G876" s="10" t="n"/>
      <c r="H876" s="10" t="n"/>
      <c r="I876" s="11">
        <f>IF(B876="","",DATE(YEAR(B876)+3,12,31))</f>
        <v/>
      </c>
      <c r="J876" s="8" t="n"/>
      <c r="K876" s="9" t="n"/>
      <c r="L876" s="8" t="n"/>
      <c r="M876" s="9" t="n"/>
      <c r="N876" s="8" t="n"/>
      <c r="O876" s="9" t="n"/>
      <c r="P876" s="12">
        <f>IF(C876="","",C876-SUM(K876,M876,O876))</f>
        <v/>
      </c>
      <c r="Q876" s="13">
        <f>IF(A876="","",IF(P876&lt;=0,"eingelöst",IF(AND(I876&lt;&gt;"",TODAY()&gt;I876),"abgelaufen",IF(P876&lt;C876,"teilweise","offen"))))</f>
        <v/>
      </c>
    </row>
    <row r="877">
      <c r="A877" s="7" t="n"/>
      <c r="B877" s="8" t="n"/>
      <c r="C877" s="9" t="n"/>
      <c r="D877" s="10" t="n"/>
      <c r="E877" s="10" t="n"/>
      <c r="F877" s="10" t="n"/>
      <c r="G877" s="10" t="n"/>
      <c r="H877" s="10" t="n"/>
      <c r="I877" s="11">
        <f>IF(B877="","",DATE(YEAR(B877)+3,12,31))</f>
        <v/>
      </c>
      <c r="J877" s="8" t="n"/>
      <c r="K877" s="9" t="n"/>
      <c r="L877" s="8" t="n"/>
      <c r="M877" s="9" t="n"/>
      <c r="N877" s="8" t="n"/>
      <c r="O877" s="9" t="n"/>
      <c r="P877" s="12">
        <f>IF(C877="","",C877-SUM(K877,M877,O877))</f>
        <v/>
      </c>
      <c r="Q877" s="13">
        <f>IF(A877="","",IF(P877&lt;=0,"eingelöst",IF(AND(I877&lt;&gt;"",TODAY()&gt;I877),"abgelaufen",IF(P877&lt;C877,"teilweise","offen"))))</f>
        <v/>
      </c>
    </row>
    <row r="878">
      <c r="A878" s="7" t="n"/>
      <c r="B878" s="8" t="n"/>
      <c r="C878" s="9" t="n"/>
      <c r="D878" s="10" t="n"/>
      <c r="E878" s="10" t="n"/>
      <c r="F878" s="10" t="n"/>
      <c r="G878" s="10" t="n"/>
      <c r="H878" s="10" t="n"/>
      <c r="I878" s="11">
        <f>IF(B878="","",DATE(YEAR(B878)+3,12,31))</f>
        <v/>
      </c>
      <c r="J878" s="8" t="n"/>
      <c r="K878" s="9" t="n"/>
      <c r="L878" s="8" t="n"/>
      <c r="M878" s="9" t="n"/>
      <c r="N878" s="8" t="n"/>
      <c r="O878" s="9" t="n"/>
      <c r="P878" s="12">
        <f>IF(C878="","",C878-SUM(K878,M878,O878))</f>
        <v/>
      </c>
      <c r="Q878" s="13">
        <f>IF(A878="","",IF(P878&lt;=0,"eingelöst",IF(AND(I878&lt;&gt;"",TODAY()&gt;I878),"abgelaufen",IF(P878&lt;C878,"teilweise","offen"))))</f>
        <v/>
      </c>
    </row>
    <row r="879">
      <c r="A879" s="7" t="n"/>
      <c r="B879" s="8" t="n"/>
      <c r="C879" s="9" t="n"/>
      <c r="D879" s="10" t="n"/>
      <c r="E879" s="10" t="n"/>
      <c r="F879" s="10" t="n"/>
      <c r="G879" s="10" t="n"/>
      <c r="H879" s="10" t="n"/>
      <c r="I879" s="11">
        <f>IF(B879="","",DATE(YEAR(B879)+3,12,31))</f>
        <v/>
      </c>
      <c r="J879" s="8" t="n"/>
      <c r="K879" s="9" t="n"/>
      <c r="L879" s="8" t="n"/>
      <c r="M879" s="9" t="n"/>
      <c r="N879" s="8" t="n"/>
      <c r="O879" s="9" t="n"/>
      <c r="P879" s="12">
        <f>IF(C879="","",C879-SUM(K879,M879,O879))</f>
        <v/>
      </c>
      <c r="Q879" s="13">
        <f>IF(A879="","",IF(P879&lt;=0,"eingelöst",IF(AND(I879&lt;&gt;"",TODAY()&gt;I879),"abgelaufen",IF(P879&lt;C879,"teilweise","offen"))))</f>
        <v/>
      </c>
    </row>
    <row r="880">
      <c r="A880" s="7" t="n"/>
      <c r="B880" s="8" t="n"/>
      <c r="C880" s="9" t="n"/>
      <c r="D880" s="10" t="n"/>
      <c r="E880" s="10" t="n"/>
      <c r="F880" s="10" t="n"/>
      <c r="G880" s="10" t="n"/>
      <c r="H880" s="10" t="n"/>
      <c r="I880" s="11">
        <f>IF(B880="","",DATE(YEAR(B880)+3,12,31))</f>
        <v/>
      </c>
      <c r="J880" s="8" t="n"/>
      <c r="K880" s="9" t="n"/>
      <c r="L880" s="8" t="n"/>
      <c r="M880" s="9" t="n"/>
      <c r="N880" s="8" t="n"/>
      <c r="O880" s="9" t="n"/>
      <c r="P880" s="12">
        <f>IF(C880="","",C880-SUM(K880,M880,O880))</f>
        <v/>
      </c>
      <c r="Q880" s="13">
        <f>IF(A880="","",IF(P880&lt;=0,"eingelöst",IF(AND(I880&lt;&gt;"",TODAY()&gt;I880),"abgelaufen",IF(P880&lt;C880,"teilweise","offen"))))</f>
        <v/>
      </c>
    </row>
    <row r="881">
      <c r="A881" s="7" t="n"/>
      <c r="B881" s="8" t="n"/>
      <c r="C881" s="9" t="n"/>
      <c r="D881" s="10" t="n"/>
      <c r="E881" s="10" t="n"/>
      <c r="F881" s="10" t="n"/>
      <c r="G881" s="10" t="n"/>
      <c r="H881" s="10" t="n"/>
      <c r="I881" s="11">
        <f>IF(B881="","",DATE(YEAR(B881)+3,12,31))</f>
        <v/>
      </c>
      <c r="J881" s="8" t="n"/>
      <c r="K881" s="9" t="n"/>
      <c r="L881" s="8" t="n"/>
      <c r="M881" s="9" t="n"/>
      <c r="N881" s="8" t="n"/>
      <c r="O881" s="9" t="n"/>
      <c r="P881" s="12">
        <f>IF(C881="","",C881-SUM(K881,M881,O881))</f>
        <v/>
      </c>
      <c r="Q881" s="13">
        <f>IF(A881="","",IF(P881&lt;=0,"eingelöst",IF(AND(I881&lt;&gt;"",TODAY()&gt;I881),"abgelaufen",IF(P881&lt;C881,"teilweise","offen"))))</f>
        <v/>
      </c>
    </row>
    <row r="882">
      <c r="A882" s="7" t="n"/>
      <c r="B882" s="8" t="n"/>
      <c r="C882" s="9" t="n"/>
      <c r="D882" s="10" t="n"/>
      <c r="E882" s="10" t="n"/>
      <c r="F882" s="10" t="n"/>
      <c r="G882" s="10" t="n"/>
      <c r="H882" s="10" t="n"/>
      <c r="I882" s="11">
        <f>IF(B882="","",DATE(YEAR(B882)+3,12,31))</f>
        <v/>
      </c>
      <c r="J882" s="8" t="n"/>
      <c r="K882" s="9" t="n"/>
      <c r="L882" s="8" t="n"/>
      <c r="M882" s="9" t="n"/>
      <c r="N882" s="8" t="n"/>
      <c r="O882" s="9" t="n"/>
      <c r="P882" s="12">
        <f>IF(C882="","",C882-SUM(K882,M882,O882))</f>
        <v/>
      </c>
      <c r="Q882" s="13">
        <f>IF(A882="","",IF(P882&lt;=0,"eingelöst",IF(AND(I882&lt;&gt;"",TODAY()&gt;I882),"abgelaufen",IF(P882&lt;C882,"teilweise","offen"))))</f>
        <v/>
      </c>
    </row>
    <row r="883">
      <c r="A883" s="7" t="n"/>
      <c r="B883" s="8" t="n"/>
      <c r="C883" s="9" t="n"/>
      <c r="D883" s="10" t="n"/>
      <c r="E883" s="10" t="n"/>
      <c r="F883" s="10" t="n"/>
      <c r="G883" s="10" t="n"/>
      <c r="H883" s="10" t="n"/>
      <c r="I883" s="11">
        <f>IF(B883="","",DATE(YEAR(B883)+3,12,31))</f>
        <v/>
      </c>
      <c r="J883" s="8" t="n"/>
      <c r="K883" s="9" t="n"/>
      <c r="L883" s="8" t="n"/>
      <c r="M883" s="9" t="n"/>
      <c r="N883" s="8" t="n"/>
      <c r="O883" s="9" t="n"/>
      <c r="P883" s="12">
        <f>IF(C883="","",C883-SUM(K883,M883,O883))</f>
        <v/>
      </c>
      <c r="Q883" s="13">
        <f>IF(A883="","",IF(P883&lt;=0,"eingelöst",IF(AND(I883&lt;&gt;"",TODAY()&gt;I883),"abgelaufen",IF(P883&lt;C883,"teilweise","offen"))))</f>
        <v/>
      </c>
    </row>
    <row r="884">
      <c r="A884" s="7" t="n"/>
      <c r="B884" s="8" t="n"/>
      <c r="C884" s="9" t="n"/>
      <c r="D884" s="10" t="n"/>
      <c r="E884" s="10" t="n"/>
      <c r="F884" s="10" t="n"/>
      <c r="G884" s="10" t="n"/>
      <c r="H884" s="10" t="n"/>
      <c r="I884" s="11">
        <f>IF(B884="","",DATE(YEAR(B884)+3,12,31))</f>
        <v/>
      </c>
      <c r="J884" s="8" t="n"/>
      <c r="K884" s="9" t="n"/>
      <c r="L884" s="8" t="n"/>
      <c r="M884" s="9" t="n"/>
      <c r="N884" s="8" t="n"/>
      <c r="O884" s="9" t="n"/>
      <c r="P884" s="12">
        <f>IF(C884="","",C884-SUM(K884,M884,O884))</f>
        <v/>
      </c>
      <c r="Q884" s="13">
        <f>IF(A884="","",IF(P884&lt;=0,"eingelöst",IF(AND(I884&lt;&gt;"",TODAY()&gt;I884),"abgelaufen",IF(P884&lt;C884,"teilweise","offen"))))</f>
        <v/>
      </c>
    </row>
    <row r="885">
      <c r="A885" s="7" t="n"/>
      <c r="B885" s="8" t="n"/>
      <c r="C885" s="9" t="n"/>
      <c r="D885" s="10" t="n"/>
      <c r="E885" s="10" t="n"/>
      <c r="F885" s="10" t="n"/>
      <c r="G885" s="10" t="n"/>
      <c r="H885" s="10" t="n"/>
      <c r="I885" s="11">
        <f>IF(B885="","",DATE(YEAR(B885)+3,12,31))</f>
        <v/>
      </c>
      <c r="J885" s="8" t="n"/>
      <c r="K885" s="9" t="n"/>
      <c r="L885" s="8" t="n"/>
      <c r="M885" s="9" t="n"/>
      <c r="N885" s="8" t="n"/>
      <c r="O885" s="9" t="n"/>
      <c r="P885" s="12">
        <f>IF(C885="","",C885-SUM(K885,M885,O885))</f>
        <v/>
      </c>
      <c r="Q885" s="13">
        <f>IF(A885="","",IF(P885&lt;=0,"eingelöst",IF(AND(I885&lt;&gt;"",TODAY()&gt;I885),"abgelaufen",IF(P885&lt;C885,"teilweise","offen"))))</f>
        <v/>
      </c>
    </row>
    <row r="886">
      <c r="A886" s="7" t="n"/>
      <c r="B886" s="8" t="n"/>
      <c r="C886" s="9" t="n"/>
      <c r="D886" s="10" t="n"/>
      <c r="E886" s="10" t="n"/>
      <c r="F886" s="10" t="n"/>
      <c r="G886" s="10" t="n"/>
      <c r="H886" s="10" t="n"/>
      <c r="I886" s="11">
        <f>IF(B886="","",DATE(YEAR(B886)+3,12,31))</f>
        <v/>
      </c>
      <c r="J886" s="8" t="n"/>
      <c r="K886" s="9" t="n"/>
      <c r="L886" s="8" t="n"/>
      <c r="M886" s="9" t="n"/>
      <c r="N886" s="8" t="n"/>
      <c r="O886" s="9" t="n"/>
      <c r="P886" s="12">
        <f>IF(C886="","",C886-SUM(K886,M886,O886))</f>
        <v/>
      </c>
      <c r="Q886" s="13">
        <f>IF(A886="","",IF(P886&lt;=0,"eingelöst",IF(AND(I886&lt;&gt;"",TODAY()&gt;I886),"abgelaufen",IF(P886&lt;C886,"teilweise","offen"))))</f>
        <v/>
      </c>
    </row>
    <row r="887">
      <c r="A887" s="7" t="n"/>
      <c r="B887" s="8" t="n"/>
      <c r="C887" s="9" t="n"/>
      <c r="D887" s="10" t="n"/>
      <c r="E887" s="10" t="n"/>
      <c r="F887" s="10" t="n"/>
      <c r="G887" s="10" t="n"/>
      <c r="H887" s="10" t="n"/>
      <c r="I887" s="11">
        <f>IF(B887="","",DATE(YEAR(B887)+3,12,31))</f>
        <v/>
      </c>
      <c r="J887" s="8" t="n"/>
      <c r="K887" s="9" t="n"/>
      <c r="L887" s="8" t="n"/>
      <c r="M887" s="9" t="n"/>
      <c r="N887" s="8" t="n"/>
      <c r="O887" s="9" t="n"/>
      <c r="P887" s="12">
        <f>IF(C887="","",C887-SUM(K887,M887,O887))</f>
        <v/>
      </c>
      <c r="Q887" s="13">
        <f>IF(A887="","",IF(P887&lt;=0,"eingelöst",IF(AND(I887&lt;&gt;"",TODAY()&gt;I887),"abgelaufen",IF(P887&lt;C887,"teilweise","offen"))))</f>
        <v/>
      </c>
    </row>
    <row r="888">
      <c r="A888" s="7" t="n"/>
      <c r="B888" s="8" t="n"/>
      <c r="C888" s="9" t="n"/>
      <c r="D888" s="10" t="n"/>
      <c r="E888" s="10" t="n"/>
      <c r="F888" s="10" t="n"/>
      <c r="G888" s="10" t="n"/>
      <c r="H888" s="10" t="n"/>
      <c r="I888" s="11">
        <f>IF(B888="","",DATE(YEAR(B888)+3,12,31))</f>
        <v/>
      </c>
      <c r="J888" s="8" t="n"/>
      <c r="K888" s="9" t="n"/>
      <c r="L888" s="8" t="n"/>
      <c r="M888" s="9" t="n"/>
      <c r="N888" s="8" t="n"/>
      <c r="O888" s="9" t="n"/>
      <c r="P888" s="12">
        <f>IF(C888="","",C888-SUM(K888,M888,O888))</f>
        <v/>
      </c>
      <c r="Q888" s="13">
        <f>IF(A888="","",IF(P888&lt;=0,"eingelöst",IF(AND(I888&lt;&gt;"",TODAY()&gt;I888),"abgelaufen",IF(P888&lt;C888,"teilweise","offen"))))</f>
        <v/>
      </c>
    </row>
    <row r="889">
      <c r="A889" s="7" t="n"/>
      <c r="B889" s="8" t="n"/>
      <c r="C889" s="9" t="n"/>
      <c r="D889" s="10" t="n"/>
      <c r="E889" s="10" t="n"/>
      <c r="F889" s="10" t="n"/>
      <c r="G889" s="10" t="n"/>
      <c r="H889" s="10" t="n"/>
      <c r="I889" s="11">
        <f>IF(B889="","",DATE(YEAR(B889)+3,12,31))</f>
        <v/>
      </c>
      <c r="J889" s="8" t="n"/>
      <c r="K889" s="9" t="n"/>
      <c r="L889" s="8" t="n"/>
      <c r="M889" s="9" t="n"/>
      <c r="N889" s="8" t="n"/>
      <c r="O889" s="9" t="n"/>
      <c r="P889" s="12">
        <f>IF(C889="","",C889-SUM(K889,M889,O889))</f>
        <v/>
      </c>
      <c r="Q889" s="13">
        <f>IF(A889="","",IF(P889&lt;=0,"eingelöst",IF(AND(I889&lt;&gt;"",TODAY()&gt;I889),"abgelaufen",IF(P889&lt;C889,"teilweise","offen"))))</f>
        <v/>
      </c>
    </row>
    <row r="890">
      <c r="A890" s="7" t="n"/>
      <c r="B890" s="8" t="n"/>
      <c r="C890" s="9" t="n"/>
      <c r="D890" s="10" t="n"/>
      <c r="E890" s="10" t="n"/>
      <c r="F890" s="10" t="n"/>
      <c r="G890" s="10" t="n"/>
      <c r="H890" s="10" t="n"/>
      <c r="I890" s="11">
        <f>IF(B890="","",DATE(YEAR(B890)+3,12,31))</f>
        <v/>
      </c>
      <c r="J890" s="8" t="n"/>
      <c r="K890" s="9" t="n"/>
      <c r="L890" s="8" t="n"/>
      <c r="M890" s="9" t="n"/>
      <c r="N890" s="8" t="n"/>
      <c r="O890" s="9" t="n"/>
      <c r="P890" s="12">
        <f>IF(C890="","",C890-SUM(K890,M890,O890))</f>
        <v/>
      </c>
      <c r="Q890" s="13">
        <f>IF(A890="","",IF(P890&lt;=0,"eingelöst",IF(AND(I890&lt;&gt;"",TODAY()&gt;I890),"abgelaufen",IF(P890&lt;C890,"teilweise","offen"))))</f>
        <v/>
      </c>
    </row>
    <row r="891">
      <c r="A891" s="7" t="n"/>
      <c r="B891" s="8" t="n"/>
      <c r="C891" s="9" t="n"/>
      <c r="D891" s="10" t="n"/>
      <c r="E891" s="10" t="n"/>
      <c r="F891" s="10" t="n"/>
      <c r="G891" s="10" t="n"/>
      <c r="H891" s="10" t="n"/>
      <c r="I891" s="11">
        <f>IF(B891="","",DATE(YEAR(B891)+3,12,31))</f>
        <v/>
      </c>
      <c r="J891" s="8" t="n"/>
      <c r="K891" s="9" t="n"/>
      <c r="L891" s="8" t="n"/>
      <c r="M891" s="9" t="n"/>
      <c r="N891" s="8" t="n"/>
      <c r="O891" s="9" t="n"/>
      <c r="P891" s="12">
        <f>IF(C891="","",C891-SUM(K891,M891,O891))</f>
        <v/>
      </c>
      <c r="Q891" s="13">
        <f>IF(A891="","",IF(P891&lt;=0,"eingelöst",IF(AND(I891&lt;&gt;"",TODAY()&gt;I891),"abgelaufen",IF(P891&lt;C891,"teilweise","offen"))))</f>
        <v/>
      </c>
    </row>
    <row r="892">
      <c r="A892" s="7" t="n"/>
      <c r="B892" s="8" t="n"/>
      <c r="C892" s="9" t="n"/>
      <c r="D892" s="10" t="n"/>
      <c r="E892" s="10" t="n"/>
      <c r="F892" s="10" t="n"/>
      <c r="G892" s="10" t="n"/>
      <c r="H892" s="10" t="n"/>
      <c r="I892" s="11">
        <f>IF(B892="","",DATE(YEAR(B892)+3,12,31))</f>
        <v/>
      </c>
      <c r="J892" s="8" t="n"/>
      <c r="K892" s="9" t="n"/>
      <c r="L892" s="8" t="n"/>
      <c r="M892" s="9" t="n"/>
      <c r="N892" s="8" t="n"/>
      <c r="O892" s="9" t="n"/>
      <c r="P892" s="12">
        <f>IF(C892="","",C892-SUM(K892,M892,O892))</f>
        <v/>
      </c>
      <c r="Q892" s="13">
        <f>IF(A892="","",IF(P892&lt;=0,"eingelöst",IF(AND(I892&lt;&gt;"",TODAY()&gt;I892),"abgelaufen",IF(P892&lt;C892,"teilweise","offen"))))</f>
        <v/>
      </c>
    </row>
    <row r="893">
      <c r="A893" s="7" t="n"/>
      <c r="B893" s="8" t="n"/>
      <c r="C893" s="9" t="n"/>
      <c r="D893" s="10" t="n"/>
      <c r="E893" s="10" t="n"/>
      <c r="F893" s="10" t="n"/>
      <c r="G893" s="10" t="n"/>
      <c r="H893" s="10" t="n"/>
      <c r="I893" s="11">
        <f>IF(B893="","",DATE(YEAR(B893)+3,12,31))</f>
        <v/>
      </c>
      <c r="J893" s="8" t="n"/>
      <c r="K893" s="9" t="n"/>
      <c r="L893" s="8" t="n"/>
      <c r="M893" s="9" t="n"/>
      <c r="N893" s="8" t="n"/>
      <c r="O893" s="9" t="n"/>
      <c r="P893" s="12">
        <f>IF(C893="","",C893-SUM(K893,M893,O893))</f>
        <v/>
      </c>
      <c r="Q893" s="13">
        <f>IF(A893="","",IF(P893&lt;=0,"eingelöst",IF(AND(I893&lt;&gt;"",TODAY()&gt;I893),"abgelaufen",IF(P893&lt;C893,"teilweise","offen"))))</f>
        <v/>
      </c>
    </row>
    <row r="894">
      <c r="A894" s="7" t="n"/>
      <c r="B894" s="8" t="n"/>
      <c r="C894" s="9" t="n"/>
      <c r="D894" s="10" t="n"/>
      <c r="E894" s="10" t="n"/>
      <c r="F894" s="10" t="n"/>
      <c r="G894" s="10" t="n"/>
      <c r="H894" s="10" t="n"/>
      <c r="I894" s="11">
        <f>IF(B894="","",DATE(YEAR(B894)+3,12,31))</f>
        <v/>
      </c>
      <c r="J894" s="8" t="n"/>
      <c r="K894" s="9" t="n"/>
      <c r="L894" s="8" t="n"/>
      <c r="M894" s="9" t="n"/>
      <c r="N894" s="8" t="n"/>
      <c r="O894" s="9" t="n"/>
      <c r="P894" s="12">
        <f>IF(C894="","",C894-SUM(K894,M894,O894))</f>
        <v/>
      </c>
      <c r="Q894" s="13">
        <f>IF(A894="","",IF(P894&lt;=0,"eingelöst",IF(AND(I894&lt;&gt;"",TODAY()&gt;I894),"abgelaufen",IF(P894&lt;C894,"teilweise","offen"))))</f>
        <v/>
      </c>
    </row>
    <row r="895">
      <c r="A895" s="7" t="n"/>
      <c r="B895" s="8" t="n"/>
      <c r="C895" s="9" t="n"/>
      <c r="D895" s="10" t="n"/>
      <c r="E895" s="10" t="n"/>
      <c r="F895" s="10" t="n"/>
      <c r="G895" s="10" t="n"/>
      <c r="H895" s="10" t="n"/>
      <c r="I895" s="11">
        <f>IF(B895="","",DATE(YEAR(B895)+3,12,31))</f>
        <v/>
      </c>
      <c r="J895" s="8" t="n"/>
      <c r="K895" s="9" t="n"/>
      <c r="L895" s="8" t="n"/>
      <c r="M895" s="9" t="n"/>
      <c r="N895" s="8" t="n"/>
      <c r="O895" s="9" t="n"/>
      <c r="P895" s="12">
        <f>IF(C895="","",C895-SUM(K895,M895,O895))</f>
        <v/>
      </c>
      <c r="Q895" s="13">
        <f>IF(A895="","",IF(P895&lt;=0,"eingelöst",IF(AND(I895&lt;&gt;"",TODAY()&gt;I895),"abgelaufen",IF(P895&lt;C895,"teilweise","offen"))))</f>
        <v/>
      </c>
    </row>
    <row r="896">
      <c r="A896" s="7" t="n"/>
      <c r="B896" s="8" t="n"/>
      <c r="C896" s="9" t="n"/>
      <c r="D896" s="10" t="n"/>
      <c r="E896" s="10" t="n"/>
      <c r="F896" s="10" t="n"/>
      <c r="G896" s="10" t="n"/>
      <c r="H896" s="10" t="n"/>
      <c r="I896" s="11">
        <f>IF(B896="","",DATE(YEAR(B896)+3,12,31))</f>
        <v/>
      </c>
      <c r="J896" s="8" t="n"/>
      <c r="K896" s="9" t="n"/>
      <c r="L896" s="8" t="n"/>
      <c r="M896" s="9" t="n"/>
      <c r="N896" s="8" t="n"/>
      <c r="O896" s="9" t="n"/>
      <c r="P896" s="12">
        <f>IF(C896="","",C896-SUM(K896,M896,O896))</f>
        <v/>
      </c>
      <c r="Q896" s="13">
        <f>IF(A896="","",IF(P896&lt;=0,"eingelöst",IF(AND(I896&lt;&gt;"",TODAY()&gt;I896),"abgelaufen",IF(P896&lt;C896,"teilweise","offen"))))</f>
        <v/>
      </c>
    </row>
    <row r="897">
      <c r="A897" s="7" t="n"/>
      <c r="B897" s="8" t="n"/>
      <c r="C897" s="9" t="n"/>
      <c r="D897" s="10" t="n"/>
      <c r="E897" s="10" t="n"/>
      <c r="F897" s="10" t="n"/>
      <c r="G897" s="10" t="n"/>
      <c r="H897" s="10" t="n"/>
      <c r="I897" s="11">
        <f>IF(B897="","",DATE(YEAR(B897)+3,12,31))</f>
        <v/>
      </c>
      <c r="J897" s="8" t="n"/>
      <c r="K897" s="9" t="n"/>
      <c r="L897" s="8" t="n"/>
      <c r="M897" s="9" t="n"/>
      <c r="N897" s="8" t="n"/>
      <c r="O897" s="9" t="n"/>
      <c r="P897" s="12">
        <f>IF(C897="","",C897-SUM(K897,M897,O897))</f>
        <v/>
      </c>
      <c r="Q897" s="13">
        <f>IF(A897="","",IF(P897&lt;=0,"eingelöst",IF(AND(I897&lt;&gt;"",TODAY()&gt;I897),"abgelaufen",IF(P897&lt;C897,"teilweise","offen"))))</f>
        <v/>
      </c>
    </row>
    <row r="898">
      <c r="A898" s="7" t="n"/>
      <c r="B898" s="8" t="n"/>
      <c r="C898" s="9" t="n"/>
      <c r="D898" s="10" t="n"/>
      <c r="E898" s="10" t="n"/>
      <c r="F898" s="10" t="n"/>
      <c r="G898" s="10" t="n"/>
      <c r="H898" s="10" t="n"/>
      <c r="I898" s="11">
        <f>IF(B898="","",DATE(YEAR(B898)+3,12,31))</f>
        <v/>
      </c>
      <c r="J898" s="8" t="n"/>
      <c r="K898" s="9" t="n"/>
      <c r="L898" s="8" t="n"/>
      <c r="M898" s="9" t="n"/>
      <c r="N898" s="8" t="n"/>
      <c r="O898" s="9" t="n"/>
      <c r="P898" s="12">
        <f>IF(C898="","",C898-SUM(K898,M898,O898))</f>
        <v/>
      </c>
      <c r="Q898" s="13">
        <f>IF(A898="","",IF(P898&lt;=0,"eingelöst",IF(AND(I898&lt;&gt;"",TODAY()&gt;I898),"abgelaufen",IF(P898&lt;C898,"teilweise","offen"))))</f>
        <v/>
      </c>
    </row>
    <row r="899">
      <c r="A899" s="7" t="n"/>
      <c r="B899" s="8" t="n"/>
      <c r="C899" s="9" t="n"/>
      <c r="D899" s="10" t="n"/>
      <c r="E899" s="10" t="n"/>
      <c r="F899" s="10" t="n"/>
      <c r="G899" s="10" t="n"/>
      <c r="H899" s="10" t="n"/>
      <c r="I899" s="11">
        <f>IF(B899="","",DATE(YEAR(B899)+3,12,31))</f>
        <v/>
      </c>
      <c r="J899" s="8" t="n"/>
      <c r="K899" s="9" t="n"/>
      <c r="L899" s="8" t="n"/>
      <c r="M899" s="9" t="n"/>
      <c r="N899" s="8" t="n"/>
      <c r="O899" s="9" t="n"/>
      <c r="P899" s="12">
        <f>IF(C899="","",C899-SUM(K899,M899,O899))</f>
        <v/>
      </c>
      <c r="Q899" s="13">
        <f>IF(A899="","",IF(P899&lt;=0,"eingelöst",IF(AND(I899&lt;&gt;"",TODAY()&gt;I899),"abgelaufen",IF(P899&lt;C899,"teilweise","offen"))))</f>
        <v/>
      </c>
    </row>
    <row r="900">
      <c r="A900" s="7" t="n"/>
      <c r="B900" s="8" t="n"/>
      <c r="C900" s="9" t="n"/>
      <c r="D900" s="10" t="n"/>
      <c r="E900" s="10" t="n"/>
      <c r="F900" s="10" t="n"/>
      <c r="G900" s="10" t="n"/>
      <c r="H900" s="10" t="n"/>
      <c r="I900" s="11">
        <f>IF(B900="","",DATE(YEAR(B900)+3,12,31))</f>
        <v/>
      </c>
      <c r="J900" s="8" t="n"/>
      <c r="K900" s="9" t="n"/>
      <c r="L900" s="8" t="n"/>
      <c r="M900" s="9" t="n"/>
      <c r="N900" s="8" t="n"/>
      <c r="O900" s="9" t="n"/>
      <c r="P900" s="12">
        <f>IF(C900="","",C900-SUM(K900,M900,O900))</f>
        <v/>
      </c>
      <c r="Q900" s="13">
        <f>IF(A900="","",IF(P900&lt;=0,"eingelöst",IF(AND(I900&lt;&gt;"",TODAY()&gt;I900),"abgelaufen",IF(P900&lt;C900,"teilweise","offen"))))</f>
        <v/>
      </c>
    </row>
    <row r="901">
      <c r="A901" s="7" t="n"/>
      <c r="B901" s="8" t="n"/>
      <c r="C901" s="9" t="n"/>
      <c r="D901" s="10" t="n"/>
      <c r="E901" s="10" t="n"/>
      <c r="F901" s="10" t="n"/>
      <c r="G901" s="10" t="n"/>
      <c r="H901" s="10" t="n"/>
      <c r="I901" s="11">
        <f>IF(B901="","",DATE(YEAR(B901)+3,12,31))</f>
        <v/>
      </c>
      <c r="J901" s="8" t="n"/>
      <c r="K901" s="9" t="n"/>
      <c r="L901" s="8" t="n"/>
      <c r="M901" s="9" t="n"/>
      <c r="N901" s="8" t="n"/>
      <c r="O901" s="9" t="n"/>
      <c r="P901" s="12">
        <f>IF(C901="","",C901-SUM(K901,M901,O901))</f>
        <v/>
      </c>
      <c r="Q901" s="13">
        <f>IF(A901="","",IF(P901&lt;=0,"eingelöst",IF(AND(I901&lt;&gt;"",TODAY()&gt;I901),"abgelaufen",IF(P901&lt;C901,"teilweise","offen"))))</f>
        <v/>
      </c>
    </row>
    <row r="902">
      <c r="A902" s="7" t="n"/>
      <c r="B902" s="8" t="n"/>
      <c r="C902" s="9" t="n"/>
      <c r="D902" s="10" t="n"/>
      <c r="E902" s="10" t="n"/>
      <c r="F902" s="10" t="n"/>
      <c r="G902" s="10" t="n"/>
      <c r="H902" s="10" t="n"/>
      <c r="I902" s="11">
        <f>IF(B902="","",DATE(YEAR(B902)+3,12,31))</f>
        <v/>
      </c>
      <c r="J902" s="8" t="n"/>
      <c r="K902" s="9" t="n"/>
      <c r="L902" s="8" t="n"/>
      <c r="M902" s="9" t="n"/>
      <c r="N902" s="8" t="n"/>
      <c r="O902" s="9" t="n"/>
      <c r="P902" s="12">
        <f>IF(C902="","",C902-SUM(K902,M902,O902))</f>
        <v/>
      </c>
      <c r="Q902" s="13">
        <f>IF(A902="","",IF(P902&lt;=0,"eingelöst",IF(AND(I902&lt;&gt;"",TODAY()&gt;I902),"abgelaufen",IF(P902&lt;C902,"teilweise","offen"))))</f>
        <v/>
      </c>
    </row>
    <row r="903">
      <c r="A903" s="7" t="n"/>
      <c r="B903" s="8" t="n"/>
      <c r="C903" s="9" t="n"/>
      <c r="D903" s="10" t="n"/>
      <c r="E903" s="10" t="n"/>
      <c r="F903" s="10" t="n"/>
      <c r="G903" s="10" t="n"/>
      <c r="H903" s="10" t="n"/>
      <c r="I903" s="11">
        <f>IF(B903="","",DATE(YEAR(B903)+3,12,31))</f>
        <v/>
      </c>
      <c r="J903" s="8" t="n"/>
      <c r="K903" s="9" t="n"/>
      <c r="L903" s="8" t="n"/>
      <c r="M903" s="9" t="n"/>
      <c r="N903" s="8" t="n"/>
      <c r="O903" s="9" t="n"/>
      <c r="P903" s="12">
        <f>IF(C903="","",C903-SUM(K903,M903,O903))</f>
        <v/>
      </c>
      <c r="Q903" s="13">
        <f>IF(A903="","",IF(P903&lt;=0,"eingelöst",IF(AND(I903&lt;&gt;"",TODAY()&gt;I903),"abgelaufen",IF(P903&lt;C903,"teilweise","offen"))))</f>
        <v/>
      </c>
    </row>
    <row r="904">
      <c r="A904" s="7" t="n"/>
      <c r="B904" s="8" t="n"/>
      <c r="C904" s="9" t="n"/>
      <c r="D904" s="10" t="n"/>
      <c r="E904" s="10" t="n"/>
      <c r="F904" s="10" t="n"/>
      <c r="G904" s="10" t="n"/>
      <c r="H904" s="10" t="n"/>
      <c r="I904" s="11">
        <f>IF(B904="","",DATE(YEAR(B904)+3,12,31))</f>
        <v/>
      </c>
      <c r="J904" s="8" t="n"/>
      <c r="K904" s="9" t="n"/>
      <c r="L904" s="8" t="n"/>
      <c r="M904" s="9" t="n"/>
      <c r="N904" s="8" t="n"/>
      <c r="O904" s="9" t="n"/>
      <c r="P904" s="12">
        <f>IF(C904="","",C904-SUM(K904,M904,O904))</f>
        <v/>
      </c>
      <c r="Q904" s="13">
        <f>IF(A904="","",IF(P904&lt;=0,"eingelöst",IF(AND(I904&lt;&gt;"",TODAY()&gt;I904),"abgelaufen",IF(P904&lt;C904,"teilweise","offen"))))</f>
        <v/>
      </c>
    </row>
    <row r="905">
      <c r="A905" s="7" t="n"/>
      <c r="B905" s="8" t="n"/>
      <c r="C905" s="9" t="n"/>
      <c r="D905" s="10" t="n"/>
      <c r="E905" s="10" t="n"/>
      <c r="F905" s="10" t="n"/>
      <c r="G905" s="10" t="n"/>
      <c r="H905" s="10" t="n"/>
      <c r="I905" s="11">
        <f>IF(B905="","",DATE(YEAR(B905)+3,12,31))</f>
        <v/>
      </c>
      <c r="J905" s="8" t="n"/>
      <c r="K905" s="9" t="n"/>
      <c r="L905" s="8" t="n"/>
      <c r="M905" s="9" t="n"/>
      <c r="N905" s="8" t="n"/>
      <c r="O905" s="9" t="n"/>
      <c r="P905" s="12">
        <f>IF(C905="","",C905-SUM(K905,M905,O905))</f>
        <v/>
      </c>
      <c r="Q905" s="13">
        <f>IF(A905="","",IF(P905&lt;=0,"eingelöst",IF(AND(I905&lt;&gt;"",TODAY()&gt;I905),"abgelaufen",IF(P905&lt;C905,"teilweise","offen"))))</f>
        <v/>
      </c>
    </row>
    <row r="906">
      <c r="A906" s="7" t="n"/>
      <c r="B906" s="8" t="n"/>
      <c r="C906" s="9" t="n"/>
      <c r="D906" s="10" t="n"/>
      <c r="E906" s="10" t="n"/>
      <c r="F906" s="10" t="n"/>
      <c r="G906" s="10" t="n"/>
      <c r="H906" s="10" t="n"/>
      <c r="I906" s="11">
        <f>IF(B906="","",DATE(YEAR(B906)+3,12,31))</f>
        <v/>
      </c>
      <c r="J906" s="8" t="n"/>
      <c r="K906" s="9" t="n"/>
      <c r="L906" s="8" t="n"/>
      <c r="M906" s="9" t="n"/>
      <c r="N906" s="8" t="n"/>
      <c r="O906" s="9" t="n"/>
      <c r="P906" s="12">
        <f>IF(C906="","",C906-SUM(K906,M906,O906))</f>
        <v/>
      </c>
      <c r="Q906" s="13">
        <f>IF(A906="","",IF(P906&lt;=0,"eingelöst",IF(AND(I906&lt;&gt;"",TODAY()&gt;I906),"abgelaufen",IF(P906&lt;C906,"teilweise","offen"))))</f>
        <v/>
      </c>
    </row>
    <row r="907">
      <c r="A907" s="7" t="n"/>
      <c r="B907" s="8" t="n"/>
      <c r="C907" s="9" t="n"/>
      <c r="D907" s="10" t="n"/>
      <c r="E907" s="10" t="n"/>
      <c r="F907" s="10" t="n"/>
      <c r="G907" s="10" t="n"/>
      <c r="H907" s="10" t="n"/>
      <c r="I907" s="11">
        <f>IF(B907="","",DATE(YEAR(B907)+3,12,31))</f>
        <v/>
      </c>
      <c r="J907" s="8" t="n"/>
      <c r="K907" s="9" t="n"/>
      <c r="L907" s="8" t="n"/>
      <c r="M907" s="9" t="n"/>
      <c r="N907" s="8" t="n"/>
      <c r="O907" s="9" t="n"/>
      <c r="P907" s="12">
        <f>IF(C907="","",C907-SUM(K907,M907,O907))</f>
        <v/>
      </c>
      <c r="Q907" s="13">
        <f>IF(A907="","",IF(P907&lt;=0,"eingelöst",IF(AND(I907&lt;&gt;"",TODAY()&gt;I907),"abgelaufen",IF(P907&lt;C907,"teilweise","offen"))))</f>
        <v/>
      </c>
    </row>
    <row r="908">
      <c r="A908" s="7" t="n"/>
      <c r="B908" s="8" t="n"/>
      <c r="C908" s="9" t="n"/>
      <c r="D908" s="10" t="n"/>
      <c r="E908" s="10" t="n"/>
      <c r="F908" s="10" t="n"/>
      <c r="G908" s="10" t="n"/>
      <c r="H908" s="10" t="n"/>
      <c r="I908" s="11">
        <f>IF(B908="","",DATE(YEAR(B908)+3,12,31))</f>
        <v/>
      </c>
      <c r="J908" s="8" t="n"/>
      <c r="K908" s="9" t="n"/>
      <c r="L908" s="8" t="n"/>
      <c r="M908" s="9" t="n"/>
      <c r="N908" s="8" t="n"/>
      <c r="O908" s="9" t="n"/>
      <c r="P908" s="12">
        <f>IF(C908="","",C908-SUM(K908,M908,O908))</f>
        <v/>
      </c>
      <c r="Q908" s="13">
        <f>IF(A908="","",IF(P908&lt;=0,"eingelöst",IF(AND(I908&lt;&gt;"",TODAY()&gt;I908),"abgelaufen",IF(P908&lt;C908,"teilweise","offen"))))</f>
        <v/>
      </c>
    </row>
    <row r="909">
      <c r="A909" s="7" t="n"/>
      <c r="B909" s="8" t="n"/>
      <c r="C909" s="9" t="n"/>
      <c r="D909" s="10" t="n"/>
      <c r="E909" s="10" t="n"/>
      <c r="F909" s="10" t="n"/>
      <c r="G909" s="10" t="n"/>
      <c r="H909" s="10" t="n"/>
      <c r="I909" s="11">
        <f>IF(B909="","",DATE(YEAR(B909)+3,12,31))</f>
        <v/>
      </c>
      <c r="J909" s="8" t="n"/>
      <c r="K909" s="9" t="n"/>
      <c r="L909" s="8" t="n"/>
      <c r="M909" s="9" t="n"/>
      <c r="N909" s="8" t="n"/>
      <c r="O909" s="9" t="n"/>
      <c r="P909" s="12">
        <f>IF(C909="","",C909-SUM(K909,M909,O909))</f>
        <v/>
      </c>
      <c r="Q909" s="13">
        <f>IF(A909="","",IF(P909&lt;=0,"eingelöst",IF(AND(I909&lt;&gt;"",TODAY()&gt;I909),"abgelaufen",IF(P909&lt;C909,"teilweise","offen"))))</f>
        <v/>
      </c>
    </row>
    <row r="910">
      <c r="A910" s="7" t="n"/>
      <c r="B910" s="8" t="n"/>
      <c r="C910" s="9" t="n"/>
      <c r="D910" s="10" t="n"/>
      <c r="E910" s="10" t="n"/>
      <c r="F910" s="10" t="n"/>
      <c r="G910" s="10" t="n"/>
      <c r="H910" s="10" t="n"/>
      <c r="I910" s="11">
        <f>IF(B910="","",DATE(YEAR(B910)+3,12,31))</f>
        <v/>
      </c>
      <c r="J910" s="8" t="n"/>
      <c r="K910" s="9" t="n"/>
      <c r="L910" s="8" t="n"/>
      <c r="M910" s="9" t="n"/>
      <c r="N910" s="8" t="n"/>
      <c r="O910" s="9" t="n"/>
      <c r="P910" s="12">
        <f>IF(C910="","",C910-SUM(K910,M910,O910))</f>
        <v/>
      </c>
      <c r="Q910" s="13">
        <f>IF(A910="","",IF(P910&lt;=0,"eingelöst",IF(AND(I910&lt;&gt;"",TODAY()&gt;I910),"abgelaufen",IF(P910&lt;C910,"teilweise","offen"))))</f>
        <v/>
      </c>
    </row>
    <row r="911">
      <c r="A911" s="7" t="n"/>
      <c r="B911" s="8" t="n"/>
      <c r="C911" s="9" t="n"/>
      <c r="D911" s="10" t="n"/>
      <c r="E911" s="10" t="n"/>
      <c r="F911" s="10" t="n"/>
      <c r="G911" s="10" t="n"/>
      <c r="H911" s="10" t="n"/>
      <c r="I911" s="11">
        <f>IF(B911="","",DATE(YEAR(B911)+3,12,31))</f>
        <v/>
      </c>
      <c r="J911" s="8" t="n"/>
      <c r="K911" s="9" t="n"/>
      <c r="L911" s="8" t="n"/>
      <c r="M911" s="9" t="n"/>
      <c r="N911" s="8" t="n"/>
      <c r="O911" s="9" t="n"/>
      <c r="P911" s="12">
        <f>IF(C911="","",C911-SUM(K911,M911,O911))</f>
        <v/>
      </c>
      <c r="Q911" s="13">
        <f>IF(A911="","",IF(P911&lt;=0,"eingelöst",IF(AND(I911&lt;&gt;"",TODAY()&gt;I911),"abgelaufen",IF(P911&lt;C911,"teilweise","offen"))))</f>
        <v/>
      </c>
    </row>
    <row r="912">
      <c r="A912" s="7" t="n"/>
      <c r="B912" s="8" t="n"/>
      <c r="C912" s="9" t="n"/>
      <c r="D912" s="10" t="n"/>
      <c r="E912" s="10" t="n"/>
      <c r="F912" s="10" t="n"/>
      <c r="G912" s="10" t="n"/>
      <c r="H912" s="10" t="n"/>
      <c r="I912" s="11">
        <f>IF(B912="","",DATE(YEAR(B912)+3,12,31))</f>
        <v/>
      </c>
      <c r="J912" s="8" t="n"/>
      <c r="K912" s="9" t="n"/>
      <c r="L912" s="8" t="n"/>
      <c r="M912" s="9" t="n"/>
      <c r="N912" s="8" t="n"/>
      <c r="O912" s="9" t="n"/>
      <c r="P912" s="12">
        <f>IF(C912="","",C912-SUM(K912,M912,O912))</f>
        <v/>
      </c>
      <c r="Q912" s="13">
        <f>IF(A912="","",IF(P912&lt;=0,"eingelöst",IF(AND(I912&lt;&gt;"",TODAY()&gt;I912),"abgelaufen",IF(P912&lt;C912,"teilweise","offen"))))</f>
        <v/>
      </c>
    </row>
    <row r="913">
      <c r="A913" s="7" t="n"/>
      <c r="B913" s="8" t="n"/>
      <c r="C913" s="9" t="n"/>
      <c r="D913" s="10" t="n"/>
      <c r="E913" s="10" t="n"/>
      <c r="F913" s="10" t="n"/>
      <c r="G913" s="10" t="n"/>
      <c r="H913" s="10" t="n"/>
      <c r="I913" s="11">
        <f>IF(B913="","",DATE(YEAR(B913)+3,12,31))</f>
        <v/>
      </c>
      <c r="J913" s="8" t="n"/>
      <c r="K913" s="9" t="n"/>
      <c r="L913" s="8" t="n"/>
      <c r="M913" s="9" t="n"/>
      <c r="N913" s="8" t="n"/>
      <c r="O913" s="9" t="n"/>
      <c r="P913" s="12">
        <f>IF(C913="","",C913-SUM(K913,M913,O913))</f>
        <v/>
      </c>
      <c r="Q913" s="13">
        <f>IF(A913="","",IF(P913&lt;=0,"eingelöst",IF(AND(I913&lt;&gt;"",TODAY()&gt;I913),"abgelaufen",IF(P913&lt;C913,"teilweise","offen"))))</f>
        <v/>
      </c>
    </row>
    <row r="914">
      <c r="A914" s="7" t="n"/>
      <c r="B914" s="8" t="n"/>
      <c r="C914" s="9" t="n"/>
      <c r="D914" s="10" t="n"/>
      <c r="E914" s="10" t="n"/>
      <c r="F914" s="10" t="n"/>
      <c r="G914" s="10" t="n"/>
      <c r="H914" s="10" t="n"/>
      <c r="I914" s="11">
        <f>IF(B914="","",DATE(YEAR(B914)+3,12,31))</f>
        <v/>
      </c>
      <c r="J914" s="8" t="n"/>
      <c r="K914" s="9" t="n"/>
      <c r="L914" s="8" t="n"/>
      <c r="M914" s="9" t="n"/>
      <c r="N914" s="8" t="n"/>
      <c r="O914" s="9" t="n"/>
      <c r="P914" s="12">
        <f>IF(C914="","",C914-SUM(K914,M914,O914))</f>
        <v/>
      </c>
      <c r="Q914" s="13">
        <f>IF(A914="","",IF(P914&lt;=0,"eingelöst",IF(AND(I914&lt;&gt;"",TODAY()&gt;I914),"abgelaufen",IF(P914&lt;C914,"teilweise","offen"))))</f>
        <v/>
      </c>
    </row>
    <row r="915">
      <c r="A915" s="7" t="n"/>
      <c r="B915" s="8" t="n"/>
      <c r="C915" s="9" t="n"/>
      <c r="D915" s="10" t="n"/>
      <c r="E915" s="10" t="n"/>
      <c r="F915" s="10" t="n"/>
      <c r="G915" s="10" t="n"/>
      <c r="H915" s="10" t="n"/>
      <c r="I915" s="11">
        <f>IF(B915="","",DATE(YEAR(B915)+3,12,31))</f>
        <v/>
      </c>
      <c r="J915" s="8" t="n"/>
      <c r="K915" s="9" t="n"/>
      <c r="L915" s="8" t="n"/>
      <c r="M915" s="9" t="n"/>
      <c r="N915" s="8" t="n"/>
      <c r="O915" s="9" t="n"/>
      <c r="P915" s="12">
        <f>IF(C915="","",C915-SUM(K915,M915,O915))</f>
        <v/>
      </c>
      <c r="Q915" s="13">
        <f>IF(A915="","",IF(P915&lt;=0,"eingelöst",IF(AND(I915&lt;&gt;"",TODAY()&gt;I915),"abgelaufen",IF(P915&lt;C915,"teilweise","offen"))))</f>
        <v/>
      </c>
    </row>
    <row r="916">
      <c r="A916" s="7" t="n"/>
      <c r="B916" s="8" t="n"/>
      <c r="C916" s="9" t="n"/>
      <c r="D916" s="10" t="n"/>
      <c r="E916" s="10" t="n"/>
      <c r="F916" s="10" t="n"/>
      <c r="G916" s="10" t="n"/>
      <c r="H916" s="10" t="n"/>
      <c r="I916" s="11">
        <f>IF(B916="","",DATE(YEAR(B916)+3,12,31))</f>
        <v/>
      </c>
      <c r="J916" s="8" t="n"/>
      <c r="K916" s="9" t="n"/>
      <c r="L916" s="8" t="n"/>
      <c r="M916" s="9" t="n"/>
      <c r="N916" s="8" t="n"/>
      <c r="O916" s="9" t="n"/>
      <c r="P916" s="12">
        <f>IF(C916="","",C916-SUM(K916,M916,O916))</f>
        <v/>
      </c>
      <c r="Q916" s="13">
        <f>IF(A916="","",IF(P916&lt;=0,"eingelöst",IF(AND(I916&lt;&gt;"",TODAY()&gt;I916),"abgelaufen",IF(P916&lt;C916,"teilweise","offen"))))</f>
        <v/>
      </c>
    </row>
    <row r="917">
      <c r="A917" s="7" t="n"/>
      <c r="B917" s="8" t="n"/>
      <c r="C917" s="9" t="n"/>
      <c r="D917" s="10" t="n"/>
      <c r="E917" s="10" t="n"/>
      <c r="F917" s="10" t="n"/>
      <c r="G917" s="10" t="n"/>
      <c r="H917" s="10" t="n"/>
      <c r="I917" s="11">
        <f>IF(B917="","",DATE(YEAR(B917)+3,12,31))</f>
        <v/>
      </c>
      <c r="J917" s="8" t="n"/>
      <c r="K917" s="9" t="n"/>
      <c r="L917" s="8" t="n"/>
      <c r="M917" s="9" t="n"/>
      <c r="N917" s="8" t="n"/>
      <c r="O917" s="9" t="n"/>
      <c r="P917" s="12">
        <f>IF(C917="","",C917-SUM(K917,M917,O917))</f>
        <v/>
      </c>
      <c r="Q917" s="13">
        <f>IF(A917="","",IF(P917&lt;=0,"eingelöst",IF(AND(I917&lt;&gt;"",TODAY()&gt;I917),"abgelaufen",IF(P917&lt;C917,"teilweise","offen"))))</f>
        <v/>
      </c>
    </row>
    <row r="918">
      <c r="A918" s="7" t="n"/>
      <c r="B918" s="8" t="n"/>
      <c r="C918" s="9" t="n"/>
      <c r="D918" s="10" t="n"/>
      <c r="E918" s="10" t="n"/>
      <c r="F918" s="10" t="n"/>
      <c r="G918" s="10" t="n"/>
      <c r="H918" s="10" t="n"/>
      <c r="I918" s="11">
        <f>IF(B918="","",DATE(YEAR(B918)+3,12,31))</f>
        <v/>
      </c>
      <c r="J918" s="8" t="n"/>
      <c r="K918" s="9" t="n"/>
      <c r="L918" s="8" t="n"/>
      <c r="M918" s="9" t="n"/>
      <c r="N918" s="8" t="n"/>
      <c r="O918" s="9" t="n"/>
      <c r="P918" s="12">
        <f>IF(C918="","",C918-SUM(K918,M918,O918))</f>
        <v/>
      </c>
      <c r="Q918" s="13">
        <f>IF(A918="","",IF(P918&lt;=0,"eingelöst",IF(AND(I918&lt;&gt;"",TODAY()&gt;I918),"abgelaufen",IF(P918&lt;C918,"teilweise","offen"))))</f>
        <v/>
      </c>
    </row>
    <row r="919">
      <c r="A919" s="7" t="n"/>
      <c r="B919" s="8" t="n"/>
      <c r="C919" s="9" t="n"/>
      <c r="D919" s="10" t="n"/>
      <c r="E919" s="10" t="n"/>
      <c r="F919" s="10" t="n"/>
      <c r="G919" s="10" t="n"/>
      <c r="H919" s="10" t="n"/>
      <c r="I919" s="11">
        <f>IF(B919="","",DATE(YEAR(B919)+3,12,31))</f>
        <v/>
      </c>
      <c r="J919" s="8" t="n"/>
      <c r="K919" s="9" t="n"/>
      <c r="L919" s="8" t="n"/>
      <c r="M919" s="9" t="n"/>
      <c r="N919" s="8" t="n"/>
      <c r="O919" s="9" t="n"/>
      <c r="P919" s="12">
        <f>IF(C919="","",C919-SUM(K919,M919,O919))</f>
        <v/>
      </c>
      <c r="Q919" s="13">
        <f>IF(A919="","",IF(P919&lt;=0,"eingelöst",IF(AND(I919&lt;&gt;"",TODAY()&gt;I919),"abgelaufen",IF(P919&lt;C919,"teilweise","offen"))))</f>
        <v/>
      </c>
    </row>
    <row r="920">
      <c r="A920" s="7" t="n"/>
      <c r="B920" s="8" t="n"/>
      <c r="C920" s="9" t="n"/>
      <c r="D920" s="10" t="n"/>
      <c r="E920" s="10" t="n"/>
      <c r="F920" s="10" t="n"/>
      <c r="G920" s="10" t="n"/>
      <c r="H920" s="10" t="n"/>
      <c r="I920" s="11">
        <f>IF(B920="","",DATE(YEAR(B920)+3,12,31))</f>
        <v/>
      </c>
      <c r="J920" s="8" t="n"/>
      <c r="K920" s="9" t="n"/>
      <c r="L920" s="8" t="n"/>
      <c r="M920" s="9" t="n"/>
      <c r="N920" s="8" t="n"/>
      <c r="O920" s="9" t="n"/>
      <c r="P920" s="12">
        <f>IF(C920="","",C920-SUM(K920,M920,O920))</f>
        <v/>
      </c>
      <c r="Q920" s="13">
        <f>IF(A920="","",IF(P920&lt;=0,"eingelöst",IF(AND(I920&lt;&gt;"",TODAY()&gt;I920),"abgelaufen",IF(P920&lt;C920,"teilweise","offen"))))</f>
        <v/>
      </c>
    </row>
    <row r="921">
      <c r="A921" s="7" t="n"/>
      <c r="B921" s="8" t="n"/>
      <c r="C921" s="9" t="n"/>
      <c r="D921" s="10" t="n"/>
      <c r="E921" s="10" t="n"/>
      <c r="F921" s="10" t="n"/>
      <c r="G921" s="10" t="n"/>
      <c r="H921" s="10" t="n"/>
      <c r="I921" s="11">
        <f>IF(B921="","",DATE(YEAR(B921)+3,12,31))</f>
        <v/>
      </c>
      <c r="J921" s="8" t="n"/>
      <c r="K921" s="9" t="n"/>
      <c r="L921" s="8" t="n"/>
      <c r="M921" s="9" t="n"/>
      <c r="N921" s="8" t="n"/>
      <c r="O921" s="9" t="n"/>
      <c r="P921" s="12">
        <f>IF(C921="","",C921-SUM(K921,M921,O921))</f>
        <v/>
      </c>
      <c r="Q921" s="13">
        <f>IF(A921="","",IF(P921&lt;=0,"eingelöst",IF(AND(I921&lt;&gt;"",TODAY()&gt;I921),"abgelaufen",IF(P921&lt;C921,"teilweise","offen"))))</f>
        <v/>
      </c>
    </row>
    <row r="922">
      <c r="A922" s="7" t="n"/>
      <c r="B922" s="8" t="n"/>
      <c r="C922" s="9" t="n"/>
      <c r="D922" s="10" t="n"/>
      <c r="E922" s="10" t="n"/>
      <c r="F922" s="10" t="n"/>
      <c r="G922" s="10" t="n"/>
      <c r="H922" s="10" t="n"/>
      <c r="I922" s="11">
        <f>IF(B922="","",DATE(YEAR(B922)+3,12,31))</f>
        <v/>
      </c>
      <c r="J922" s="8" t="n"/>
      <c r="K922" s="9" t="n"/>
      <c r="L922" s="8" t="n"/>
      <c r="M922" s="9" t="n"/>
      <c r="N922" s="8" t="n"/>
      <c r="O922" s="9" t="n"/>
      <c r="P922" s="12">
        <f>IF(C922="","",C922-SUM(K922,M922,O922))</f>
        <v/>
      </c>
      <c r="Q922" s="13">
        <f>IF(A922="","",IF(P922&lt;=0,"eingelöst",IF(AND(I922&lt;&gt;"",TODAY()&gt;I922),"abgelaufen",IF(P922&lt;C922,"teilweise","offen"))))</f>
        <v/>
      </c>
    </row>
    <row r="923">
      <c r="A923" s="7" t="n"/>
      <c r="B923" s="8" t="n"/>
      <c r="C923" s="9" t="n"/>
      <c r="D923" s="10" t="n"/>
      <c r="E923" s="10" t="n"/>
      <c r="F923" s="10" t="n"/>
      <c r="G923" s="10" t="n"/>
      <c r="H923" s="10" t="n"/>
      <c r="I923" s="11">
        <f>IF(B923="","",DATE(YEAR(B923)+3,12,31))</f>
        <v/>
      </c>
      <c r="J923" s="8" t="n"/>
      <c r="K923" s="9" t="n"/>
      <c r="L923" s="8" t="n"/>
      <c r="M923" s="9" t="n"/>
      <c r="N923" s="8" t="n"/>
      <c r="O923" s="9" t="n"/>
      <c r="P923" s="12">
        <f>IF(C923="","",C923-SUM(K923,M923,O923))</f>
        <v/>
      </c>
      <c r="Q923" s="13">
        <f>IF(A923="","",IF(P923&lt;=0,"eingelöst",IF(AND(I923&lt;&gt;"",TODAY()&gt;I923),"abgelaufen",IF(P923&lt;C923,"teilweise","offen"))))</f>
        <v/>
      </c>
    </row>
    <row r="924">
      <c r="A924" s="7" t="n"/>
      <c r="B924" s="8" t="n"/>
      <c r="C924" s="9" t="n"/>
      <c r="D924" s="10" t="n"/>
      <c r="E924" s="10" t="n"/>
      <c r="F924" s="10" t="n"/>
      <c r="G924" s="10" t="n"/>
      <c r="H924" s="10" t="n"/>
      <c r="I924" s="11">
        <f>IF(B924="","",DATE(YEAR(B924)+3,12,31))</f>
        <v/>
      </c>
      <c r="J924" s="8" t="n"/>
      <c r="K924" s="9" t="n"/>
      <c r="L924" s="8" t="n"/>
      <c r="M924" s="9" t="n"/>
      <c r="N924" s="8" t="n"/>
      <c r="O924" s="9" t="n"/>
      <c r="P924" s="12">
        <f>IF(C924="","",C924-SUM(K924,M924,O924))</f>
        <v/>
      </c>
      <c r="Q924" s="13">
        <f>IF(A924="","",IF(P924&lt;=0,"eingelöst",IF(AND(I924&lt;&gt;"",TODAY()&gt;I924),"abgelaufen",IF(P924&lt;C924,"teilweise","offen"))))</f>
        <v/>
      </c>
    </row>
    <row r="925">
      <c r="A925" s="7" t="n"/>
      <c r="B925" s="8" t="n"/>
      <c r="C925" s="9" t="n"/>
      <c r="D925" s="10" t="n"/>
      <c r="E925" s="10" t="n"/>
      <c r="F925" s="10" t="n"/>
      <c r="G925" s="10" t="n"/>
      <c r="H925" s="10" t="n"/>
      <c r="I925" s="11">
        <f>IF(B925="","",DATE(YEAR(B925)+3,12,31))</f>
        <v/>
      </c>
      <c r="J925" s="8" t="n"/>
      <c r="K925" s="9" t="n"/>
      <c r="L925" s="8" t="n"/>
      <c r="M925" s="9" t="n"/>
      <c r="N925" s="8" t="n"/>
      <c r="O925" s="9" t="n"/>
      <c r="P925" s="12">
        <f>IF(C925="","",C925-SUM(K925,M925,O925))</f>
        <v/>
      </c>
      <c r="Q925" s="13">
        <f>IF(A925="","",IF(P925&lt;=0,"eingelöst",IF(AND(I925&lt;&gt;"",TODAY()&gt;I925),"abgelaufen",IF(P925&lt;C925,"teilweise","offen"))))</f>
        <v/>
      </c>
    </row>
    <row r="926">
      <c r="A926" s="7" t="n"/>
      <c r="B926" s="8" t="n"/>
      <c r="C926" s="9" t="n"/>
      <c r="D926" s="10" t="n"/>
      <c r="E926" s="10" t="n"/>
      <c r="F926" s="10" t="n"/>
      <c r="G926" s="10" t="n"/>
      <c r="H926" s="10" t="n"/>
      <c r="I926" s="11">
        <f>IF(B926="","",DATE(YEAR(B926)+3,12,31))</f>
        <v/>
      </c>
      <c r="J926" s="8" t="n"/>
      <c r="K926" s="9" t="n"/>
      <c r="L926" s="8" t="n"/>
      <c r="M926" s="9" t="n"/>
      <c r="N926" s="8" t="n"/>
      <c r="O926" s="9" t="n"/>
      <c r="P926" s="12">
        <f>IF(C926="","",C926-SUM(K926,M926,O926))</f>
        <v/>
      </c>
      <c r="Q926" s="13">
        <f>IF(A926="","",IF(P926&lt;=0,"eingelöst",IF(AND(I926&lt;&gt;"",TODAY()&gt;I926),"abgelaufen",IF(P926&lt;C926,"teilweise","offen"))))</f>
        <v/>
      </c>
    </row>
    <row r="927">
      <c r="A927" s="7" t="n"/>
      <c r="B927" s="8" t="n"/>
      <c r="C927" s="9" t="n"/>
      <c r="D927" s="10" t="n"/>
      <c r="E927" s="10" t="n"/>
      <c r="F927" s="10" t="n"/>
      <c r="G927" s="10" t="n"/>
      <c r="H927" s="10" t="n"/>
      <c r="I927" s="11">
        <f>IF(B927="","",DATE(YEAR(B927)+3,12,31))</f>
        <v/>
      </c>
      <c r="J927" s="8" t="n"/>
      <c r="K927" s="9" t="n"/>
      <c r="L927" s="8" t="n"/>
      <c r="M927" s="9" t="n"/>
      <c r="N927" s="8" t="n"/>
      <c r="O927" s="9" t="n"/>
      <c r="P927" s="12">
        <f>IF(C927="","",C927-SUM(K927,M927,O927))</f>
        <v/>
      </c>
      <c r="Q927" s="13">
        <f>IF(A927="","",IF(P927&lt;=0,"eingelöst",IF(AND(I927&lt;&gt;"",TODAY()&gt;I927),"abgelaufen",IF(P927&lt;C927,"teilweise","offen"))))</f>
        <v/>
      </c>
    </row>
    <row r="928">
      <c r="A928" s="7" t="n"/>
      <c r="B928" s="8" t="n"/>
      <c r="C928" s="9" t="n"/>
      <c r="D928" s="10" t="n"/>
      <c r="E928" s="10" t="n"/>
      <c r="F928" s="10" t="n"/>
      <c r="G928" s="10" t="n"/>
      <c r="H928" s="10" t="n"/>
      <c r="I928" s="11">
        <f>IF(B928="","",DATE(YEAR(B928)+3,12,31))</f>
        <v/>
      </c>
      <c r="J928" s="8" t="n"/>
      <c r="K928" s="9" t="n"/>
      <c r="L928" s="8" t="n"/>
      <c r="M928" s="9" t="n"/>
      <c r="N928" s="8" t="n"/>
      <c r="O928" s="9" t="n"/>
      <c r="P928" s="12">
        <f>IF(C928="","",C928-SUM(K928,M928,O928))</f>
        <v/>
      </c>
      <c r="Q928" s="13">
        <f>IF(A928="","",IF(P928&lt;=0,"eingelöst",IF(AND(I928&lt;&gt;"",TODAY()&gt;I928),"abgelaufen",IF(P928&lt;C928,"teilweise","offen"))))</f>
        <v/>
      </c>
    </row>
    <row r="929">
      <c r="A929" s="7" t="n"/>
      <c r="B929" s="8" t="n"/>
      <c r="C929" s="9" t="n"/>
      <c r="D929" s="10" t="n"/>
      <c r="E929" s="10" t="n"/>
      <c r="F929" s="10" t="n"/>
      <c r="G929" s="10" t="n"/>
      <c r="H929" s="10" t="n"/>
      <c r="I929" s="11">
        <f>IF(B929="","",DATE(YEAR(B929)+3,12,31))</f>
        <v/>
      </c>
      <c r="J929" s="8" t="n"/>
      <c r="K929" s="9" t="n"/>
      <c r="L929" s="8" t="n"/>
      <c r="M929" s="9" t="n"/>
      <c r="N929" s="8" t="n"/>
      <c r="O929" s="9" t="n"/>
      <c r="P929" s="12">
        <f>IF(C929="","",C929-SUM(K929,M929,O929))</f>
        <v/>
      </c>
      <c r="Q929" s="13">
        <f>IF(A929="","",IF(P929&lt;=0,"eingelöst",IF(AND(I929&lt;&gt;"",TODAY()&gt;I929),"abgelaufen",IF(P929&lt;C929,"teilweise","offen"))))</f>
        <v/>
      </c>
    </row>
    <row r="930">
      <c r="A930" s="7" t="n"/>
      <c r="B930" s="8" t="n"/>
      <c r="C930" s="9" t="n"/>
      <c r="D930" s="10" t="n"/>
      <c r="E930" s="10" t="n"/>
      <c r="F930" s="10" t="n"/>
      <c r="G930" s="10" t="n"/>
      <c r="H930" s="10" t="n"/>
      <c r="I930" s="11">
        <f>IF(B930="","",DATE(YEAR(B930)+3,12,31))</f>
        <v/>
      </c>
      <c r="J930" s="8" t="n"/>
      <c r="K930" s="9" t="n"/>
      <c r="L930" s="8" t="n"/>
      <c r="M930" s="9" t="n"/>
      <c r="N930" s="8" t="n"/>
      <c r="O930" s="9" t="n"/>
      <c r="P930" s="12">
        <f>IF(C930="","",C930-SUM(K930,M930,O930))</f>
        <v/>
      </c>
      <c r="Q930" s="13">
        <f>IF(A930="","",IF(P930&lt;=0,"eingelöst",IF(AND(I930&lt;&gt;"",TODAY()&gt;I930),"abgelaufen",IF(P930&lt;C930,"teilweise","offen"))))</f>
        <v/>
      </c>
    </row>
    <row r="931">
      <c r="A931" s="7" t="n"/>
      <c r="B931" s="8" t="n"/>
      <c r="C931" s="9" t="n"/>
      <c r="D931" s="10" t="n"/>
      <c r="E931" s="10" t="n"/>
      <c r="F931" s="10" t="n"/>
      <c r="G931" s="10" t="n"/>
      <c r="H931" s="10" t="n"/>
      <c r="I931" s="11">
        <f>IF(B931="","",DATE(YEAR(B931)+3,12,31))</f>
        <v/>
      </c>
      <c r="J931" s="8" t="n"/>
      <c r="K931" s="9" t="n"/>
      <c r="L931" s="8" t="n"/>
      <c r="M931" s="9" t="n"/>
      <c r="N931" s="8" t="n"/>
      <c r="O931" s="9" t="n"/>
      <c r="P931" s="12">
        <f>IF(C931="","",C931-SUM(K931,M931,O931))</f>
        <v/>
      </c>
      <c r="Q931" s="13">
        <f>IF(A931="","",IF(P931&lt;=0,"eingelöst",IF(AND(I931&lt;&gt;"",TODAY()&gt;I931),"abgelaufen",IF(P931&lt;C931,"teilweise","offen"))))</f>
        <v/>
      </c>
    </row>
    <row r="932">
      <c r="A932" s="7" t="n"/>
      <c r="B932" s="8" t="n"/>
      <c r="C932" s="9" t="n"/>
      <c r="D932" s="10" t="n"/>
      <c r="E932" s="10" t="n"/>
      <c r="F932" s="10" t="n"/>
      <c r="G932" s="10" t="n"/>
      <c r="H932" s="10" t="n"/>
      <c r="I932" s="11">
        <f>IF(B932="","",DATE(YEAR(B932)+3,12,31))</f>
        <v/>
      </c>
      <c r="J932" s="8" t="n"/>
      <c r="K932" s="9" t="n"/>
      <c r="L932" s="8" t="n"/>
      <c r="M932" s="9" t="n"/>
      <c r="N932" s="8" t="n"/>
      <c r="O932" s="9" t="n"/>
      <c r="P932" s="12">
        <f>IF(C932="","",C932-SUM(K932,M932,O932))</f>
        <v/>
      </c>
      <c r="Q932" s="13">
        <f>IF(A932="","",IF(P932&lt;=0,"eingelöst",IF(AND(I932&lt;&gt;"",TODAY()&gt;I932),"abgelaufen",IF(P932&lt;C932,"teilweise","offen"))))</f>
        <v/>
      </c>
    </row>
    <row r="933">
      <c r="A933" s="7" t="n"/>
      <c r="B933" s="8" t="n"/>
      <c r="C933" s="9" t="n"/>
      <c r="D933" s="10" t="n"/>
      <c r="E933" s="10" t="n"/>
      <c r="F933" s="10" t="n"/>
      <c r="G933" s="10" t="n"/>
      <c r="H933" s="10" t="n"/>
      <c r="I933" s="11">
        <f>IF(B933="","",DATE(YEAR(B933)+3,12,31))</f>
        <v/>
      </c>
      <c r="J933" s="8" t="n"/>
      <c r="K933" s="9" t="n"/>
      <c r="L933" s="8" t="n"/>
      <c r="M933" s="9" t="n"/>
      <c r="N933" s="8" t="n"/>
      <c r="O933" s="9" t="n"/>
      <c r="P933" s="12">
        <f>IF(C933="","",C933-SUM(K933,M933,O933))</f>
        <v/>
      </c>
      <c r="Q933" s="13">
        <f>IF(A933="","",IF(P933&lt;=0,"eingelöst",IF(AND(I933&lt;&gt;"",TODAY()&gt;I933),"abgelaufen",IF(P933&lt;C933,"teilweise","offen"))))</f>
        <v/>
      </c>
    </row>
    <row r="934">
      <c r="A934" s="7" t="n"/>
      <c r="B934" s="8" t="n"/>
      <c r="C934" s="9" t="n"/>
      <c r="D934" s="10" t="n"/>
      <c r="E934" s="10" t="n"/>
      <c r="F934" s="10" t="n"/>
      <c r="G934" s="10" t="n"/>
      <c r="H934" s="10" t="n"/>
      <c r="I934" s="11">
        <f>IF(B934="","",DATE(YEAR(B934)+3,12,31))</f>
        <v/>
      </c>
      <c r="J934" s="8" t="n"/>
      <c r="K934" s="9" t="n"/>
      <c r="L934" s="8" t="n"/>
      <c r="M934" s="9" t="n"/>
      <c r="N934" s="8" t="n"/>
      <c r="O934" s="9" t="n"/>
      <c r="P934" s="12">
        <f>IF(C934="","",C934-SUM(K934,M934,O934))</f>
        <v/>
      </c>
      <c r="Q934" s="13">
        <f>IF(A934="","",IF(P934&lt;=0,"eingelöst",IF(AND(I934&lt;&gt;"",TODAY()&gt;I934),"abgelaufen",IF(P934&lt;C934,"teilweise","offen"))))</f>
        <v/>
      </c>
    </row>
    <row r="935">
      <c r="A935" s="7" t="n"/>
      <c r="B935" s="8" t="n"/>
      <c r="C935" s="9" t="n"/>
      <c r="D935" s="10" t="n"/>
      <c r="E935" s="10" t="n"/>
      <c r="F935" s="10" t="n"/>
      <c r="G935" s="10" t="n"/>
      <c r="H935" s="10" t="n"/>
      <c r="I935" s="11">
        <f>IF(B935="","",DATE(YEAR(B935)+3,12,31))</f>
        <v/>
      </c>
      <c r="J935" s="8" t="n"/>
      <c r="K935" s="9" t="n"/>
      <c r="L935" s="8" t="n"/>
      <c r="M935" s="9" t="n"/>
      <c r="N935" s="8" t="n"/>
      <c r="O935" s="9" t="n"/>
      <c r="P935" s="12">
        <f>IF(C935="","",C935-SUM(K935,M935,O935))</f>
        <v/>
      </c>
      <c r="Q935" s="13">
        <f>IF(A935="","",IF(P935&lt;=0,"eingelöst",IF(AND(I935&lt;&gt;"",TODAY()&gt;I935),"abgelaufen",IF(P935&lt;C935,"teilweise","offen"))))</f>
        <v/>
      </c>
    </row>
    <row r="936">
      <c r="A936" s="7" t="n"/>
      <c r="B936" s="8" t="n"/>
      <c r="C936" s="9" t="n"/>
      <c r="D936" s="10" t="n"/>
      <c r="E936" s="10" t="n"/>
      <c r="F936" s="10" t="n"/>
      <c r="G936" s="10" t="n"/>
      <c r="H936" s="10" t="n"/>
      <c r="I936" s="11">
        <f>IF(B936="","",DATE(YEAR(B936)+3,12,31))</f>
        <v/>
      </c>
      <c r="J936" s="8" t="n"/>
      <c r="K936" s="9" t="n"/>
      <c r="L936" s="8" t="n"/>
      <c r="M936" s="9" t="n"/>
      <c r="N936" s="8" t="n"/>
      <c r="O936" s="9" t="n"/>
      <c r="P936" s="12">
        <f>IF(C936="","",C936-SUM(K936,M936,O936))</f>
        <v/>
      </c>
      <c r="Q936" s="13">
        <f>IF(A936="","",IF(P936&lt;=0,"eingelöst",IF(AND(I936&lt;&gt;"",TODAY()&gt;I936),"abgelaufen",IF(P936&lt;C936,"teilweise","offen"))))</f>
        <v/>
      </c>
    </row>
    <row r="937">
      <c r="A937" s="7" t="n"/>
      <c r="B937" s="8" t="n"/>
      <c r="C937" s="9" t="n"/>
      <c r="D937" s="10" t="n"/>
      <c r="E937" s="10" t="n"/>
      <c r="F937" s="10" t="n"/>
      <c r="G937" s="10" t="n"/>
      <c r="H937" s="10" t="n"/>
      <c r="I937" s="11">
        <f>IF(B937="","",DATE(YEAR(B937)+3,12,31))</f>
        <v/>
      </c>
      <c r="J937" s="8" t="n"/>
      <c r="K937" s="9" t="n"/>
      <c r="L937" s="8" t="n"/>
      <c r="M937" s="9" t="n"/>
      <c r="N937" s="8" t="n"/>
      <c r="O937" s="9" t="n"/>
      <c r="P937" s="12">
        <f>IF(C937="","",C937-SUM(K937,M937,O937))</f>
        <v/>
      </c>
      <c r="Q937" s="13">
        <f>IF(A937="","",IF(P937&lt;=0,"eingelöst",IF(AND(I937&lt;&gt;"",TODAY()&gt;I937),"abgelaufen",IF(P937&lt;C937,"teilweise","offen"))))</f>
        <v/>
      </c>
    </row>
    <row r="938">
      <c r="A938" s="7" t="n"/>
      <c r="B938" s="8" t="n"/>
      <c r="C938" s="9" t="n"/>
      <c r="D938" s="10" t="n"/>
      <c r="E938" s="10" t="n"/>
      <c r="F938" s="10" t="n"/>
      <c r="G938" s="10" t="n"/>
      <c r="H938" s="10" t="n"/>
      <c r="I938" s="11">
        <f>IF(B938="","",DATE(YEAR(B938)+3,12,31))</f>
        <v/>
      </c>
      <c r="J938" s="8" t="n"/>
      <c r="K938" s="9" t="n"/>
      <c r="L938" s="8" t="n"/>
      <c r="M938" s="9" t="n"/>
      <c r="N938" s="8" t="n"/>
      <c r="O938" s="9" t="n"/>
      <c r="P938" s="12">
        <f>IF(C938="","",C938-SUM(K938,M938,O938))</f>
        <v/>
      </c>
      <c r="Q938" s="13">
        <f>IF(A938="","",IF(P938&lt;=0,"eingelöst",IF(AND(I938&lt;&gt;"",TODAY()&gt;I938),"abgelaufen",IF(P938&lt;C938,"teilweise","offen"))))</f>
        <v/>
      </c>
    </row>
    <row r="939">
      <c r="A939" s="7" t="n"/>
      <c r="B939" s="8" t="n"/>
      <c r="C939" s="9" t="n"/>
      <c r="D939" s="10" t="n"/>
      <c r="E939" s="10" t="n"/>
      <c r="F939" s="10" t="n"/>
      <c r="G939" s="10" t="n"/>
      <c r="H939" s="10" t="n"/>
      <c r="I939" s="11">
        <f>IF(B939="","",DATE(YEAR(B939)+3,12,31))</f>
        <v/>
      </c>
      <c r="J939" s="8" t="n"/>
      <c r="K939" s="9" t="n"/>
      <c r="L939" s="8" t="n"/>
      <c r="M939" s="9" t="n"/>
      <c r="N939" s="8" t="n"/>
      <c r="O939" s="9" t="n"/>
      <c r="P939" s="12">
        <f>IF(C939="","",C939-SUM(K939,M939,O939))</f>
        <v/>
      </c>
      <c r="Q939" s="13">
        <f>IF(A939="","",IF(P939&lt;=0,"eingelöst",IF(AND(I939&lt;&gt;"",TODAY()&gt;I939),"abgelaufen",IF(P939&lt;C939,"teilweise","offen"))))</f>
        <v/>
      </c>
    </row>
    <row r="940">
      <c r="A940" s="7" t="n"/>
      <c r="B940" s="8" t="n"/>
      <c r="C940" s="9" t="n"/>
      <c r="D940" s="10" t="n"/>
      <c r="E940" s="10" t="n"/>
      <c r="F940" s="10" t="n"/>
      <c r="G940" s="10" t="n"/>
      <c r="H940" s="10" t="n"/>
      <c r="I940" s="11">
        <f>IF(B940="","",DATE(YEAR(B940)+3,12,31))</f>
        <v/>
      </c>
      <c r="J940" s="8" t="n"/>
      <c r="K940" s="9" t="n"/>
      <c r="L940" s="8" t="n"/>
      <c r="M940" s="9" t="n"/>
      <c r="N940" s="8" t="n"/>
      <c r="O940" s="9" t="n"/>
      <c r="P940" s="12">
        <f>IF(C940="","",C940-SUM(K940,M940,O940))</f>
        <v/>
      </c>
      <c r="Q940" s="13">
        <f>IF(A940="","",IF(P940&lt;=0,"eingelöst",IF(AND(I940&lt;&gt;"",TODAY()&gt;I940),"abgelaufen",IF(P940&lt;C940,"teilweise","offen"))))</f>
        <v/>
      </c>
    </row>
    <row r="941">
      <c r="A941" s="7" t="n"/>
      <c r="B941" s="8" t="n"/>
      <c r="C941" s="9" t="n"/>
      <c r="D941" s="10" t="n"/>
      <c r="E941" s="10" t="n"/>
      <c r="F941" s="10" t="n"/>
      <c r="G941" s="10" t="n"/>
      <c r="H941" s="10" t="n"/>
      <c r="I941" s="11">
        <f>IF(B941="","",DATE(YEAR(B941)+3,12,31))</f>
        <v/>
      </c>
      <c r="J941" s="8" t="n"/>
      <c r="K941" s="9" t="n"/>
      <c r="L941" s="8" t="n"/>
      <c r="M941" s="9" t="n"/>
      <c r="N941" s="8" t="n"/>
      <c r="O941" s="9" t="n"/>
      <c r="P941" s="12">
        <f>IF(C941="","",C941-SUM(K941,M941,O941))</f>
        <v/>
      </c>
      <c r="Q941" s="13">
        <f>IF(A941="","",IF(P941&lt;=0,"eingelöst",IF(AND(I941&lt;&gt;"",TODAY()&gt;I941),"abgelaufen",IF(P941&lt;C941,"teilweise","offen"))))</f>
        <v/>
      </c>
    </row>
    <row r="942">
      <c r="A942" s="7" t="n"/>
      <c r="B942" s="8" t="n"/>
      <c r="C942" s="9" t="n"/>
      <c r="D942" s="10" t="n"/>
      <c r="E942" s="10" t="n"/>
      <c r="F942" s="10" t="n"/>
      <c r="G942" s="10" t="n"/>
      <c r="H942" s="10" t="n"/>
      <c r="I942" s="11">
        <f>IF(B942="","",DATE(YEAR(B942)+3,12,31))</f>
        <v/>
      </c>
      <c r="J942" s="8" t="n"/>
      <c r="K942" s="9" t="n"/>
      <c r="L942" s="8" t="n"/>
      <c r="M942" s="9" t="n"/>
      <c r="N942" s="8" t="n"/>
      <c r="O942" s="9" t="n"/>
      <c r="P942" s="12">
        <f>IF(C942="","",C942-SUM(K942,M942,O942))</f>
        <v/>
      </c>
      <c r="Q942" s="13">
        <f>IF(A942="","",IF(P942&lt;=0,"eingelöst",IF(AND(I942&lt;&gt;"",TODAY()&gt;I942),"abgelaufen",IF(P942&lt;C942,"teilweise","offen"))))</f>
        <v/>
      </c>
    </row>
    <row r="943">
      <c r="A943" s="7" t="n"/>
      <c r="B943" s="8" t="n"/>
      <c r="C943" s="9" t="n"/>
      <c r="D943" s="10" t="n"/>
      <c r="E943" s="10" t="n"/>
      <c r="F943" s="10" t="n"/>
      <c r="G943" s="10" t="n"/>
      <c r="H943" s="10" t="n"/>
      <c r="I943" s="11">
        <f>IF(B943="","",DATE(YEAR(B943)+3,12,31))</f>
        <v/>
      </c>
      <c r="J943" s="8" t="n"/>
      <c r="K943" s="9" t="n"/>
      <c r="L943" s="8" t="n"/>
      <c r="M943" s="9" t="n"/>
      <c r="N943" s="8" t="n"/>
      <c r="O943" s="9" t="n"/>
      <c r="P943" s="12">
        <f>IF(C943="","",C943-SUM(K943,M943,O943))</f>
        <v/>
      </c>
      <c r="Q943" s="13">
        <f>IF(A943="","",IF(P943&lt;=0,"eingelöst",IF(AND(I943&lt;&gt;"",TODAY()&gt;I943),"abgelaufen",IF(P943&lt;C943,"teilweise","offen"))))</f>
        <v/>
      </c>
    </row>
    <row r="944">
      <c r="A944" s="7" t="n"/>
      <c r="B944" s="8" t="n"/>
      <c r="C944" s="9" t="n"/>
      <c r="D944" s="10" t="n"/>
      <c r="E944" s="10" t="n"/>
      <c r="F944" s="10" t="n"/>
      <c r="G944" s="10" t="n"/>
      <c r="H944" s="10" t="n"/>
      <c r="I944" s="11">
        <f>IF(B944="","",DATE(YEAR(B944)+3,12,31))</f>
        <v/>
      </c>
      <c r="J944" s="8" t="n"/>
      <c r="K944" s="9" t="n"/>
      <c r="L944" s="8" t="n"/>
      <c r="M944" s="9" t="n"/>
      <c r="N944" s="8" t="n"/>
      <c r="O944" s="9" t="n"/>
      <c r="P944" s="12">
        <f>IF(C944="","",C944-SUM(K944,M944,O944))</f>
        <v/>
      </c>
      <c r="Q944" s="13">
        <f>IF(A944="","",IF(P944&lt;=0,"eingelöst",IF(AND(I944&lt;&gt;"",TODAY()&gt;I944),"abgelaufen",IF(P944&lt;C944,"teilweise","offen"))))</f>
        <v/>
      </c>
    </row>
    <row r="945">
      <c r="A945" s="7" t="n"/>
      <c r="B945" s="8" t="n"/>
      <c r="C945" s="9" t="n"/>
      <c r="D945" s="10" t="n"/>
      <c r="E945" s="10" t="n"/>
      <c r="F945" s="10" t="n"/>
      <c r="G945" s="10" t="n"/>
      <c r="H945" s="10" t="n"/>
      <c r="I945" s="11">
        <f>IF(B945="","",DATE(YEAR(B945)+3,12,31))</f>
        <v/>
      </c>
      <c r="J945" s="8" t="n"/>
      <c r="K945" s="9" t="n"/>
      <c r="L945" s="8" t="n"/>
      <c r="M945" s="9" t="n"/>
      <c r="N945" s="8" t="n"/>
      <c r="O945" s="9" t="n"/>
      <c r="P945" s="12">
        <f>IF(C945="","",C945-SUM(K945,M945,O945))</f>
        <v/>
      </c>
      <c r="Q945" s="13">
        <f>IF(A945="","",IF(P945&lt;=0,"eingelöst",IF(AND(I945&lt;&gt;"",TODAY()&gt;I945),"abgelaufen",IF(P945&lt;C945,"teilweise","offen"))))</f>
        <v/>
      </c>
    </row>
    <row r="946">
      <c r="A946" s="7" t="n"/>
      <c r="B946" s="8" t="n"/>
      <c r="C946" s="9" t="n"/>
      <c r="D946" s="10" t="n"/>
      <c r="E946" s="10" t="n"/>
      <c r="F946" s="10" t="n"/>
      <c r="G946" s="10" t="n"/>
      <c r="H946" s="10" t="n"/>
      <c r="I946" s="11">
        <f>IF(B946="","",DATE(YEAR(B946)+3,12,31))</f>
        <v/>
      </c>
      <c r="J946" s="8" t="n"/>
      <c r="K946" s="9" t="n"/>
      <c r="L946" s="8" t="n"/>
      <c r="M946" s="9" t="n"/>
      <c r="N946" s="8" t="n"/>
      <c r="O946" s="9" t="n"/>
      <c r="P946" s="12">
        <f>IF(C946="","",C946-SUM(K946,M946,O946))</f>
        <v/>
      </c>
      <c r="Q946" s="13">
        <f>IF(A946="","",IF(P946&lt;=0,"eingelöst",IF(AND(I946&lt;&gt;"",TODAY()&gt;I946),"abgelaufen",IF(P946&lt;C946,"teilweise","offen"))))</f>
        <v/>
      </c>
    </row>
    <row r="947">
      <c r="A947" s="7" t="n"/>
      <c r="B947" s="8" t="n"/>
      <c r="C947" s="9" t="n"/>
      <c r="D947" s="10" t="n"/>
      <c r="E947" s="10" t="n"/>
      <c r="F947" s="10" t="n"/>
      <c r="G947" s="10" t="n"/>
      <c r="H947" s="10" t="n"/>
      <c r="I947" s="11">
        <f>IF(B947="","",DATE(YEAR(B947)+3,12,31))</f>
        <v/>
      </c>
      <c r="J947" s="8" t="n"/>
      <c r="K947" s="9" t="n"/>
      <c r="L947" s="8" t="n"/>
      <c r="M947" s="9" t="n"/>
      <c r="N947" s="8" t="n"/>
      <c r="O947" s="9" t="n"/>
      <c r="P947" s="12">
        <f>IF(C947="","",C947-SUM(K947,M947,O947))</f>
        <v/>
      </c>
      <c r="Q947" s="13">
        <f>IF(A947="","",IF(P947&lt;=0,"eingelöst",IF(AND(I947&lt;&gt;"",TODAY()&gt;I947),"abgelaufen",IF(P947&lt;C947,"teilweise","offen"))))</f>
        <v/>
      </c>
    </row>
    <row r="948">
      <c r="A948" s="7" t="n"/>
      <c r="B948" s="8" t="n"/>
      <c r="C948" s="9" t="n"/>
      <c r="D948" s="10" t="n"/>
      <c r="E948" s="10" t="n"/>
      <c r="F948" s="10" t="n"/>
      <c r="G948" s="10" t="n"/>
      <c r="H948" s="10" t="n"/>
      <c r="I948" s="11">
        <f>IF(B948="","",DATE(YEAR(B948)+3,12,31))</f>
        <v/>
      </c>
      <c r="J948" s="8" t="n"/>
      <c r="K948" s="9" t="n"/>
      <c r="L948" s="8" t="n"/>
      <c r="M948" s="9" t="n"/>
      <c r="N948" s="8" t="n"/>
      <c r="O948" s="9" t="n"/>
      <c r="P948" s="12">
        <f>IF(C948="","",C948-SUM(K948,M948,O948))</f>
        <v/>
      </c>
      <c r="Q948" s="13">
        <f>IF(A948="","",IF(P948&lt;=0,"eingelöst",IF(AND(I948&lt;&gt;"",TODAY()&gt;I948),"abgelaufen",IF(P948&lt;C948,"teilweise","offen"))))</f>
        <v/>
      </c>
    </row>
    <row r="949">
      <c r="A949" s="7" t="n"/>
      <c r="B949" s="8" t="n"/>
      <c r="C949" s="9" t="n"/>
      <c r="D949" s="10" t="n"/>
      <c r="E949" s="10" t="n"/>
      <c r="F949" s="10" t="n"/>
      <c r="G949" s="10" t="n"/>
      <c r="H949" s="10" t="n"/>
      <c r="I949" s="11">
        <f>IF(B949="","",DATE(YEAR(B949)+3,12,31))</f>
        <v/>
      </c>
      <c r="J949" s="8" t="n"/>
      <c r="K949" s="9" t="n"/>
      <c r="L949" s="8" t="n"/>
      <c r="M949" s="9" t="n"/>
      <c r="N949" s="8" t="n"/>
      <c r="O949" s="9" t="n"/>
      <c r="P949" s="12">
        <f>IF(C949="","",C949-SUM(K949,M949,O949))</f>
        <v/>
      </c>
      <c r="Q949" s="13">
        <f>IF(A949="","",IF(P949&lt;=0,"eingelöst",IF(AND(I949&lt;&gt;"",TODAY()&gt;I949),"abgelaufen",IF(P949&lt;C949,"teilweise","offen"))))</f>
        <v/>
      </c>
    </row>
    <row r="950">
      <c r="A950" s="7" t="n"/>
      <c r="B950" s="8" t="n"/>
      <c r="C950" s="9" t="n"/>
      <c r="D950" s="10" t="n"/>
      <c r="E950" s="10" t="n"/>
      <c r="F950" s="10" t="n"/>
      <c r="G950" s="10" t="n"/>
      <c r="H950" s="10" t="n"/>
      <c r="I950" s="11">
        <f>IF(B950="","",DATE(YEAR(B950)+3,12,31))</f>
        <v/>
      </c>
      <c r="J950" s="8" t="n"/>
      <c r="K950" s="9" t="n"/>
      <c r="L950" s="8" t="n"/>
      <c r="M950" s="9" t="n"/>
      <c r="N950" s="8" t="n"/>
      <c r="O950" s="9" t="n"/>
      <c r="P950" s="12">
        <f>IF(C950="","",C950-SUM(K950,M950,O950))</f>
        <v/>
      </c>
      <c r="Q950" s="13">
        <f>IF(A950="","",IF(P950&lt;=0,"eingelöst",IF(AND(I950&lt;&gt;"",TODAY()&gt;I950),"abgelaufen",IF(P950&lt;C950,"teilweise","offen"))))</f>
        <v/>
      </c>
    </row>
    <row r="951">
      <c r="A951" s="7" t="n"/>
      <c r="B951" s="8" t="n"/>
      <c r="C951" s="9" t="n"/>
      <c r="D951" s="10" t="n"/>
      <c r="E951" s="10" t="n"/>
      <c r="F951" s="10" t="n"/>
      <c r="G951" s="10" t="n"/>
      <c r="H951" s="10" t="n"/>
      <c r="I951" s="11">
        <f>IF(B951="","",DATE(YEAR(B951)+3,12,31))</f>
        <v/>
      </c>
      <c r="J951" s="8" t="n"/>
      <c r="K951" s="9" t="n"/>
      <c r="L951" s="8" t="n"/>
      <c r="M951" s="9" t="n"/>
      <c r="N951" s="8" t="n"/>
      <c r="O951" s="9" t="n"/>
      <c r="P951" s="12">
        <f>IF(C951="","",C951-SUM(K951,M951,O951))</f>
        <v/>
      </c>
      <c r="Q951" s="13">
        <f>IF(A951="","",IF(P951&lt;=0,"eingelöst",IF(AND(I951&lt;&gt;"",TODAY()&gt;I951),"abgelaufen",IF(P951&lt;C951,"teilweise","offen"))))</f>
        <v/>
      </c>
    </row>
    <row r="952">
      <c r="A952" s="7" t="n"/>
      <c r="B952" s="8" t="n"/>
      <c r="C952" s="9" t="n"/>
      <c r="D952" s="10" t="n"/>
      <c r="E952" s="10" t="n"/>
      <c r="F952" s="10" t="n"/>
      <c r="G952" s="10" t="n"/>
      <c r="H952" s="10" t="n"/>
      <c r="I952" s="11">
        <f>IF(B952="","",DATE(YEAR(B952)+3,12,31))</f>
        <v/>
      </c>
      <c r="J952" s="8" t="n"/>
      <c r="K952" s="9" t="n"/>
      <c r="L952" s="8" t="n"/>
      <c r="M952" s="9" t="n"/>
      <c r="N952" s="8" t="n"/>
      <c r="O952" s="9" t="n"/>
      <c r="P952" s="12">
        <f>IF(C952="","",C952-SUM(K952,M952,O952))</f>
        <v/>
      </c>
      <c r="Q952" s="13">
        <f>IF(A952="","",IF(P952&lt;=0,"eingelöst",IF(AND(I952&lt;&gt;"",TODAY()&gt;I952),"abgelaufen",IF(P952&lt;C952,"teilweise","offen"))))</f>
        <v/>
      </c>
    </row>
    <row r="953">
      <c r="A953" s="7" t="n"/>
      <c r="B953" s="8" t="n"/>
      <c r="C953" s="9" t="n"/>
      <c r="D953" s="10" t="n"/>
      <c r="E953" s="10" t="n"/>
      <c r="F953" s="10" t="n"/>
      <c r="G953" s="10" t="n"/>
      <c r="H953" s="10" t="n"/>
      <c r="I953" s="11">
        <f>IF(B953="","",DATE(YEAR(B953)+3,12,31))</f>
        <v/>
      </c>
      <c r="J953" s="8" t="n"/>
      <c r="K953" s="9" t="n"/>
      <c r="L953" s="8" t="n"/>
      <c r="M953" s="9" t="n"/>
      <c r="N953" s="8" t="n"/>
      <c r="O953" s="9" t="n"/>
      <c r="P953" s="12">
        <f>IF(C953="","",C953-SUM(K953,M953,O953))</f>
        <v/>
      </c>
      <c r="Q953" s="13">
        <f>IF(A953="","",IF(P953&lt;=0,"eingelöst",IF(AND(I953&lt;&gt;"",TODAY()&gt;I953),"abgelaufen",IF(P953&lt;C953,"teilweise","offen"))))</f>
        <v/>
      </c>
    </row>
    <row r="954">
      <c r="A954" s="7" t="n"/>
      <c r="B954" s="8" t="n"/>
      <c r="C954" s="9" t="n"/>
      <c r="D954" s="10" t="n"/>
      <c r="E954" s="10" t="n"/>
      <c r="F954" s="10" t="n"/>
      <c r="G954" s="10" t="n"/>
      <c r="H954" s="10" t="n"/>
      <c r="I954" s="11">
        <f>IF(B954="","",DATE(YEAR(B954)+3,12,31))</f>
        <v/>
      </c>
      <c r="J954" s="8" t="n"/>
      <c r="K954" s="9" t="n"/>
      <c r="L954" s="8" t="n"/>
      <c r="M954" s="9" t="n"/>
      <c r="N954" s="8" t="n"/>
      <c r="O954" s="9" t="n"/>
      <c r="P954" s="12">
        <f>IF(C954="","",C954-SUM(K954,M954,O954))</f>
        <v/>
      </c>
      <c r="Q954" s="13">
        <f>IF(A954="","",IF(P954&lt;=0,"eingelöst",IF(AND(I954&lt;&gt;"",TODAY()&gt;I954),"abgelaufen",IF(P954&lt;C954,"teilweise","offen"))))</f>
        <v/>
      </c>
    </row>
    <row r="955">
      <c r="A955" s="7" t="n"/>
      <c r="B955" s="8" t="n"/>
      <c r="C955" s="9" t="n"/>
      <c r="D955" s="10" t="n"/>
      <c r="E955" s="10" t="n"/>
      <c r="F955" s="10" t="n"/>
      <c r="G955" s="10" t="n"/>
      <c r="H955" s="10" t="n"/>
      <c r="I955" s="11">
        <f>IF(B955="","",DATE(YEAR(B955)+3,12,31))</f>
        <v/>
      </c>
      <c r="J955" s="8" t="n"/>
      <c r="K955" s="9" t="n"/>
      <c r="L955" s="8" t="n"/>
      <c r="M955" s="9" t="n"/>
      <c r="N955" s="8" t="n"/>
      <c r="O955" s="9" t="n"/>
      <c r="P955" s="12">
        <f>IF(C955="","",C955-SUM(K955,M955,O955))</f>
        <v/>
      </c>
      <c r="Q955" s="13">
        <f>IF(A955="","",IF(P955&lt;=0,"eingelöst",IF(AND(I955&lt;&gt;"",TODAY()&gt;I955),"abgelaufen",IF(P955&lt;C955,"teilweise","offen"))))</f>
        <v/>
      </c>
    </row>
    <row r="956">
      <c r="A956" s="7" t="n"/>
      <c r="B956" s="8" t="n"/>
      <c r="C956" s="9" t="n"/>
      <c r="D956" s="10" t="n"/>
      <c r="E956" s="10" t="n"/>
      <c r="F956" s="10" t="n"/>
      <c r="G956" s="10" t="n"/>
      <c r="H956" s="10" t="n"/>
      <c r="I956" s="11">
        <f>IF(B956="","",DATE(YEAR(B956)+3,12,31))</f>
        <v/>
      </c>
      <c r="J956" s="8" t="n"/>
      <c r="K956" s="9" t="n"/>
      <c r="L956" s="8" t="n"/>
      <c r="M956" s="9" t="n"/>
      <c r="N956" s="8" t="n"/>
      <c r="O956" s="9" t="n"/>
      <c r="P956" s="12">
        <f>IF(C956="","",C956-SUM(K956,M956,O956))</f>
        <v/>
      </c>
      <c r="Q956" s="13">
        <f>IF(A956="","",IF(P956&lt;=0,"eingelöst",IF(AND(I956&lt;&gt;"",TODAY()&gt;I956),"abgelaufen",IF(P956&lt;C956,"teilweise","offen"))))</f>
        <v/>
      </c>
    </row>
    <row r="957">
      <c r="A957" s="7" t="n"/>
      <c r="B957" s="8" t="n"/>
      <c r="C957" s="9" t="n"/>
      <c r="D957" s="10" t="n"/>
      <c r="E957" s="10" t="n"/>
      <c r="F957" s="10" t="n"/>
      <c r="G957" s="10" t="n"/>
      <c r="H957" s="10" t="n"/>
      <c r="I957" s="11">
        <f>IF(B957="","",DATE(YEAR(B957)+3,12,31))</f>
        <v/>
      </c>
      <c r="J957" s="8" t="n"/>
      <c r="K957" s="9" t="n"/>
      <c r="L957" s="8" t="n"/>
      <c r="M957" s="9" t="n"/>
      <c r="N957" s="8" t="n"/>
      <c r="O957" s="9" t="n"/>
      <c r="P957" s="12">
        <f>IF(C957="","",C957-SUM(K957,M957,O957))</f>
        <v/>
      </c>
      <c r="Q957" s="13">
        <f>IF(A957="","",IF(P957&lt;=0,"eingelöst",IF(AND(I957&lt;&gt;"",TODAY()&gt;I957),"abgelaufen",IF(P957&lt;C957,"teilweise","offen"))))</f>
        <v/>
      </c>
    </row>
    <row r="958">
      <c r="A958" s="7" t="n"/>
      <c r="B958" s="8" t="n"/>
      <c r="C958" s="9" t="n"/>
      <c r="D958" s="10" t="n"/>
      <c r="E958" s="10" t="n"/>
      <c r="F958" s="10" t="n"/>
      <c r="G958" s="10" t="n"/>
      <c r="H958" s="10" t="n"/>
      <c r="I958" s="11">
        <f>IF(B958="","",DATE(YEAR(B958)+3,12,31))</f>
        <v/>
      </c>
      <c r="J958" s="8" t="n"/>
      <c r="K958" s="9" t="n"/>
      <c r="L958" s="8" t="n"/>
      <c r="M958" s="9" t="n"/>
      <c r="N958" s="8" t="n"/>
      <c r="O958" s="9" t="n"/>
      <c r="P958" s="12">
        <f>IF(C958="","",C958-SUM(K958,M958,O958))</f>
        <v/>
      </c>
      <c r="Q958" s="13">
        <f>IF(A958="","",IF(P958&lt;=0,"eingelöst",IF(AND(I958&lt;&gt;"",TODAY()&gt;I958),"abgelaufen",IF(P958&lt;C958,"teilweise","offen"))))</f>
        <v/>
      </c>
    </row>
    <row r="959">
      <c r="A959" s="7" t="n"/>
      <c r="B959" s="8" t="n"/>
      <c r="C959" s="9" t="n"/>
      <c r="D959" s="10" t="n"/>
      <c r="E959" s="10" t="n"/>
      <c r="F959" s="10" t="n"/>
      <c r="G959" s="10" t="n"/>
      <c r="H959" s="10" t="n"/>
      <c r="I959" s="11">
        <f>IF(B959="","",DATE(YEAR(B959)+3,12,31))</f>
        <v/>
      </c>
      <c r="J959" s="8" t="n"/>
      <c r="K959" s="9" t="n"/>
      <c r="L959" s="8" t="n"/>
      <c r="M959" s="9" t="n"/>
      <c r="N959" s="8" t="n"/>
      <c r="O959" s="9" t="n"/>
      <c r="P959" s="12">
        <f>IF(C959="","",C959-SUM(K959,M959,O959))</f>
        <v/>
      </c>
      <c r="Q959" s="13">
        <f>IF(A959="","",IF(P959&lt;=0,"eingelöst",IF(AND(I959&lt;&gt;"",TODAY()&gt;I959),"abgelaufen",IF(P959&lt;C959,"teilweise","offen"))))</f>
        <v/>
      </c>
    </row>
    <row r="960">
      <c r="A960" s="7" t="n"/>
      <c r="B960" s="8" t="n"/>
      <c r="C960" s="9" t="n"/>
      <c r="D960" s="10" t="n"/>
      <c r="E960" s="10" t="n"/>
      <c r="F960" s="10" t="n"/>
      <c r="G960" s="10" t="n"/>
      <c r="H960" s="10" t="n"/>
      <c r="I960" s="11">
        <f>IF(B960="","",DATE(YEAR(B960)+3,12,31))</f>
        <v/>
      </c>
      <c r="J960" s="8" t="n"/>
      <c r="K960" s="9" t="n"/>
      <c r="L960" s="8" t="n"/>
      <c r="M960" s="9" t="n"/>
      <c r="N960" s="8" t="n"/>
      <c r="O960" s="9" t="n"/>
      <c r="P960" s="12">
        <f>IF(C960="","",C960-SUM(K960,M960,O960))</f>
        <v/>
      </c>
      <c r="Q960" s="13">
        <f>IF(A960="","",IF(P960&lt;=0,"eingelöst",IF(AND(I960&lt;&gt;"",TODAY()&gt;I960),"abgelaufen",IF(P960&lt;C960,"teilweise","offen"))))</f>
        <v/>
      </c>
    </row>
    <row r="961">
      <c r="A961" s="7" t="n"/>
      <c r="B961" s="8" t="n"/>
      <c r="C961" s="9" t="n"/>
      <c r="D961" s="10" t="n"/>
      <c r="E961" s="10" t="n"/>
      <c r="F961" s="10" t="n"/>
      <c r="G961" s="10" t="n"/>
      <c r="H961" s="10" t="n"/>
      <c r="I961" s="11">
        <f>IF(B961="","",DATE(YEAR(B961)+3,12,31))</f>
        <v/>
      </c>
      <c r="J961" s="8" t="n"/>
      <c r="K961" s="9" t="n"/>
      <c r="L961" s="8" t="n"/>
      <c r="M961" s="9" t="n"/>
      <c r="N961" s="8" t="n"/>
      <c r="O961" s="9" t="n"/>
      <c r="P961" s="12">
        <f>IF(C961="","",C961-SUM(K961,M961,O961))</f>
        <v/>
      </c>
      <c r="Q961" s="13">
        <f>IF(A961="","",IF(P961&lt;=0,"eingelöst",IF(AND(I961&lt;&gt;"",TODAY()&gt;I961),"abgelaufen",IF(P961&lt;C961,"teilweise","offen"))))</f>
        <v/>
      </c>
    </row>
    <row r="962">
      <c r="A962" s="7" t="n"/>
      <c r="B962" s="8" t="n"/>
      <c r="C962" s="9" t="n"/>
      <c r="D962" s="10" t="n"/>
      <c r="E962" s="10" t="n"/>
      <c r="F962" s="10" t="n"/>
      <c r="G962" s="10" t="n"/>
      <c r="H962" s="10" t="n"/>
      <c r="I962" s="11">
        <f>IF(B962="","",DATE(YEAR(B962)+3,12,31))</f>
        <v/>
      </c>
      <c r="J962" s="8" t="n"/>
      <c r="K962" s="9" t="n"/>
      <c r="L962" s="8" t="n"/>
      <c r="M962" s="9" t="n"/>
      <c r="N962" s="8" t="n"/>
      <c r="O962" s="9" t="n"/>
      <c r="P962" s="12">
        <f>IF(C962="","",C962-SUM(K962,M962,O962))</f>
        <v/>
      </c>
      <c r="Q962" s="13">
        <f>IF(A962="","",IF(P962&lt;=0,"eingelöst",IF(AND(I962&lt;&gt;"",TODAY()&gt;I962),"abgelaufen",IF(P962&lt;C962,"teilweise","offen"))))</f>
        <v/>
      </c>
    </row>
    <row r="963">
      <c r="A963" s="7" t="n"/>
      <c r="B963" s="8" t="n"/>
      <c r="C963" s="9" t="n"/>
      <c r="D963" s="10" t="n"/>
      <c r="E963" s="10" t="n"/>
      <c r="F963" s="10" t="n"/>
      <c r="G963" s="10" t="n"/>
      <c r="H963" s="10" t="n"/>
      <c r="I963" s="11">
        <f>IF(B963="","",DATE(YEAR(B963)+3,12,31))</f>
        <v/>
      </c>
      <c r="J963" s="8" t="n"/>
      <c r="K963" s="9" t="n"/>
      <c r="L963" s="8" t="n"/>
      <c r="M963" s="9" t="n"/>
      <c r="N963" s="8" t="n"/>
      <c r="O963" s="9" t="n"/>
      <c r="P963" s="12">
        <f>IF(C963="","",C963-SUM(K963,M963,O963))</f>
        <v/>
      </c>
      <c r="Q963" s="13">
        <f>IF(A963="","",IF(P963&lt;=0,"eingelöst",IF(AND(I963&lt;&gt;"",TODAY()&gt;I963),"abgelaufen",IF(P963&lt;C963,"teilweise","offen"))))</f>
        <v/>
      </c>
    </row>
    <row r="964">
      <c r="A964" s="7" t="n"/>
      <c r="B964" s="8" t="n"/>
      <c r="C964" s="9" t="n"/>
      <c r="D964" s="10" t="n"/>
      <c r="E964" s="10" t="n"/>
      <c r="F964" s="10" t="n"/>
      <c r="G964" s="10" t="n"/>
      <c r="H964" s="10" t="n"/>
      <c r="I964" s="11">
        <f>IF(B964="","",DATE(YEAR(B964)+3,12,31))</f>
        <v/>
      </c>
      <c r="J964" s="8" t="n"/>
      <c r="K964" s="9" t="n"/>
      <c r="L964" s="8" t="n"/>
      <c r="M964" s="9" t="n"/>
      <c r="N964" s="8" t="n"/>
      <c r="O964" s="9" t="n"/>
      <c r="P964" s="12">
        <f>IF(C964="","",C964-SUM(K964,M964,O964))</f>
        <v/>
      </c>
      <c r="Q964" s="13">
        <f>IF(A964="","",IF(P964&lt;=0,"eingelöst",IF(AND(I964&lt;&gt;"",TODAY()&gt;I964),"abgelaufen",IF(P964&lt;C964,"teilweise","offen"))))</f>
        <v/>
      </c>
    </row>
    <row r="965">
      <c r="A965" s="7" t="n"/>
      <c r="B965" s="8" t="n"/>
      <c r="C965" s="9" t="n"/>
      <c r="D965" s="10" t="n"/>
      <c r="E965" s="10" t="n"/>
      <c r="F965" s="10" t="n"/>
      <c r="G965" s="10" t="n"/>
      <c r="H965" s="10" t="n"/>
      <c r="I965" s="11">
        <f>IF(B965="","",DATE(YEAR(B965)+3,12,31))</f>
        <v/>
      </c>
      <c r="J965" s="8" t="n"/>
      <c r="K965" s="9" t="n"/>
      <c r="L965" s="8" t="n"/>
      <c r="M965" s="9" t="n"/>
      <c r="N965" s="8" t="n"/>
      <c r="O965" s="9" t="n"/>
      <c r="P965" s="12">
        <f>IF(C965="","",C965-SUM(K965,M965,O965))</f>
        <v/>
      </c>
      <c r="Q965" s="13">
        <f>IF(A965="","",IF(P965&lt;=0,"eingelöst",IF(AND(I965&lt;&gt;"",TODAY()&gt;I965),"abgelaufen",IF(P965&lt;C965,"teilweise","offen"))))</f>
        <v/>
      </c>
    </row>
    <row r="966">
      <c r="A966" s="7" t="n"/>
      <c r="B966" s="8" t="n"/>
      <c r="C966" s="9" t="n"/>
      <c r="D966" s="10" t="n"/>
      <c r="E966" s="10" t="n"/>
      <c r="F966" s="10" t="n"/>
      <c r="G966" s="10" t="n"/>
      <c r="H966" s="10" t="n"/>
      <c r="I966" s="11">
        <f>IF(B966="","",DATE(YEAR(B966)+3,12,31))</f>
        <v/>
      </c>
      <c r="J966" s="8" t="n"/>
      <c r="K966" s="9" t="n"/>
      <c r="L966" s="8" t="n"/>
      <c r="M966" s="9" t="n"/>
      <c r="N966" s="8" t="n"/>
      <c r="O966" s="9" t="n"/>
      <c r="P966" s="12">
        <f>IF(C966="","",C966-SUM(K966,M966,O966))</f>
        <v/>
      </c>
      <c r="Q966" s="13">
        <f>IF(A966="","",IF(P966&lt;=0,"eingelöst",IF(AND(I966&lt;&gt;"",TODAY()&gt;I966),"abgelaufen",IF(P966&lt;C966,"teilweise","offen"))))</f>
        <v/>
      </c>
    </row>
    <row r="967">
      <c r="A967" s="7" t="n"/>
      <c r="B967" s="8" t="n"/>
      <c r="C967" s="9" t="n"/>
      <c r="D967" s="10" t="n"/>
      <c r="E967" s="10" t="n"/>
      <c r="F967" s="10" t="n"/>
      <c r="G967" s="10" t="n"/>
      <c r="H967" s="10" t="n"/>
      <c r="I967" s="11">
        <f>IF(B967="","",DATE(YEAR(B967)+3,12,31))</f>
        <v/>
      </c>
      <c r="J967" s="8" t="n"/>
      <c r="K967" s="9" t="n"/>
      <c r="L967" s="8" t="n"/>
      <c r="M967" s="9" t="n"/>
      <c r="N967" s="8" t="n"/>
      <c r="O967" s="9" t="n"/>
      <c r="P967" s="12">
        <f>IF(C967="","",C967-SUM(K967,M967,O967))</f>
        <v/>
      </c>
      <c r="Q967" s="13">
        <f>IF(A967="","",IF(P967&lt;=0,"eingelöst",IF(AND(I967&lt;&gt;"",TODAY()&gt;I967),"abgelaufen",IF(P967&lt;C967,"teilweise","offen"))))</f>
        <v/>
      </c>
    </row>
    <row r="968">
      <c r="A968" s="7" t="n"/>
      <c r="B968" s="8" t="n"/>
      <c r="C968" s="9" t="n"/>
      <c r="D968" s="10" t="n"/>
      <c r="E968" s="10" t="n"/>
      <c r="F968" s="10" t="n"/>
      <c r="G968" s="10" t="n"/>
      <c r="H968" s="10" t="n"/>
      <c r="I968" s="11">
        <f>IF(B968="","",DATE(YEAR(B968)+3,12,31))</f>
        <v/>
      </c>
      <c r="J968" s="8" t="n"/>
      <c r="K968" s="9" t="n"/>
      <c r="L968" s="8" t="n"/>
      <c r="M968" s="9" t="n"/>
      <c r="N968" s="8" t="n"/>
      <c r="O968" s="9" t="n"/>
      <c r="P968" s="12">
        <f>IF(C968="","",C968-SUM(K968,M968,O968))</f>
        <v/>
      </c>
      <c r="Q968" s="13">
        <f>IF(A968="","",IF(P968&lt;=0,"eingelöst",IF(AND(I968&lt;&gt;"",TODAY()&gt;I968),"abgelaufen",IF(P968&lt;C968,"teilweise","offen"))))</f>
        <v/>
      </c>
    </row>
    <row r="969">
      <c r="A969" s="7" t="n"/>
      <c r="B969" s="8" t="n"/>
      <c r="C969" s="9" t="n"/>
      <c r="D969" s="10" t="n"/>
      <c r="E969" s="10" t="n"/>
      <c r="F969" s="10" t="n"/>
      <c r="G969" s="10" t="n"/>
      <c r="H969" s="10" t="n"/>
      <c r="I969" s="11">
        <f>IF(B969="","",DATE(YEAR(B969)+3,12,31))</f>
        <v/>
      </c>
      <c r="J969" s="8" t="n"/>
      <c r="K969" s="9" t="n"/>
      <c r="L969" s="8" t="n"/>
      <c r="M969" s="9" t="n"/>
      <c r="N969" s="8" t="n"/>
      <c r="O969" s="9" t="n"/>
      <c r="P969" s="12">
        <f>IF(C969="","",C969-SUM(K969,M969,O969))</f>
        <v/>
      </c>
      <c r="Q969" s="13">
        <f>IF(A969="","",IF(P969&lt;=0,"eingelöst",IF(AND(I969&lt;&gt;"",TODAY()&gt;I969),"abgelaufen",IF(P969&lt;C969,"teilweise","offen"))))</f>
        <v/>
      </c>
    </row>
    <row r="970">
      <c r="A970" s="7" t="n"/>
      <c r="B970" s="8" t="n"/>
      <c r="C970" s="9" t="n"/>
      <c r="D970" s="10" t="n"/>
      <c r="E970" s="10" t="n"/>
      <c r="F970" s="10" t="n"/>
      <c r="G970" s="10" t="n"/>
      <c r="H970" s="10" t="n"/>
      <c r="I970" s="11">
        <f>IF(B970="","",DATE(YEAR(B970)+3,12,31))</f>
        <v/>
      </c>
      <c r="J970" s="8" t="n"/>
      <c r="K970" s="9" t="n"/>
      <c r="L970" s="8" t="n"/>
      <c r="M970" s="9" t="n"/>
      <c r="N970" s="8" t="n"/>
      <c r="O970" s="9" t="n"/>
      <c r="P970" s="12">
        <f>IF(C970="","",C970-SUM(K970,M970,O970))</f>
        <v/>
      </c>
      <c r="Q970" s="13">
        <f>IF(A970="","",IF(P970&lt;=0,"eingelöst",IF(AND(I970&lt;&gt;"",TODAY()&gt;I970),"abgelaufen",IF(P970&lt;C970,"teilweise","offen"))))</f>
        <v/>
      </c>
    </row>
    <row r="971">
      <c r="A971" s="7" t="n"/>
      <c r="B971" s="8" t="n"/>
      <c r="C971" s="9" t="n"/>
      <c r="D971" s="10" t="n"/>
      <c r="E971" s="10" t="n"/>
      <c r="F971" s="10" t="n"/>
      <c r="G971" s="10" t="n"/>
      <c r="H971" s="10" t="n"/>
      <c r="I971" s="11">
        <f>IF(B971="","",DATE(YEAR(B971)+3,12,31))</f>
        <v/>
      </c>
      <c r="J971" s="8" t="n"/>
      <c r="K971" s="9" t="n"/>
      <c r="L971" s="8" t="n"/>
      <c r="M971" s="9" t="n"/>
      <c r="N971" s="8" t="n"/>
      <c r="O971" s="9" t="n"/>
      <c r="P971" s="12">
        <f>IF(C971="","",C971-SUM(K971,M971,O971))</f>
        <v/>
      </c>
      <c r="Q971" s="13">
        <f>IF(A971="","",IF(P971&lt;=0,"eingelöst",IF(AND(I971&lt;&gt;"",TODAY()&gt;I971),"abgelaufen",IF(P971&lt;C971,"teilweise","offen"))))</f>
        <v/>
      </c>
    </row>
    <row r="972">
      <c r="A972" s="7" t="n"/>
      <c r="B972" s="8" t="n"/>
      <c r="C972" s="9" t="n"/>
      <c r="D972" s="10" t="n"/>
      <c r="E972" s="10" t="n"/>
      <c r="F972" s="10" t="n"/>
      <c r="G972" s="10" t="n"/>
      <c r="H972" s="10" t="n"/>
      <c r="I972" s="11">
        <f>IF(B972="","",DATE(YEAR(B972)+3,12,31))</f>
        <v/>
      </c>
      <c r="J972" s="8" t="n"/>
      <c r="K972" s="9" t="n"/>
      <c r="L972" s="8" t="n"/>
      <c r="M972" s="9" t="n"/>
      <c r="N972" s="8" t="n"/>
      <c r="O972" s="9" t="n"/>
      <c r="P972" s="12">
        <f>IF(C972="","",C972-SUM(K972,M972,O972))</f>
        <v/>
      </c>
      <c r="Q972" s="13">
        <f>IF(A972="","",IF(P972&lt;=0,"eingelöst",IF(AND(I972&lt;&gt;"",TODAY()&gt;I972),"abgelaufen",IF(P972&lt;C972,"teilweise","offen"))))</f>
        <v/>
      </c>
    </row>
    <row r="973">
      <c r="A973" s="7" t="n"/>
      <c r="B973" s="8" t="n"/>
      <c r="C973" s="9" t="n"/>
      <c r="D973" s="10" t="n"/>
      <c r="E973" s="10" t="n"/>
      <c r="F973" s="10" t="n"/>
      <c r="G973" s="10" t="n"/>
      <c r="H973" s="10" t="n"/>
      <c r="I973" s="11">
        <f>IF(B973="","",DATE(YEAR(B973)+3,12,31))</f>
        <v/>
      </c>
      <c r="J973" s="8" t="n"/>
      <c r="K973" s="9" t="n"/>
      <c r="L973" s="8" t="n"/>
      <c r="M973" s="9" t="n"/>
      <c r="N973" s="8" t="n"/>
      <c r="O973" s="9" t="n"/>
      <c r="P973" s="12">
        <f>IF(C973="","",C973-SUM(K973,M973,O973))</f>
        <v/>
      </c>
      <c r="Q973" s="13">
        <f>IF(A973="","",IF(P973&lt;=0,"eingelöst",IF(AND(I973&lt;&gt;"",TODAY()&gt;I973),"abgelaufen",IF(P973&lt;C973,"teilweise","offen"))))</f>
        <v/>
      </c>
    </row>
    <row r="974">
      <c r="A974" s="7" t="n"/>
      <c r="B974" s="8" t="n"/>
      <c r="C974" s="9" t="n"/>
      <c r="D974" s="10" t="n"/>
      <c r="E974" s="10" t="n"/>
      <c r="F974" s="10" t="n"/>
      <c r="G974" s="10" t="n"/>
      <c r="H974" s="10" t="n"/>
      <c r="I974" s="11">
        <f>IF(B974="","",DATE(YEAR(B974)+3,12,31))</f>
        <v/>
      </c>
      <c r="J974" s="8" t="n"/>
      <c r="K974" s="9" t="n"/>
      <c r="L974" s="8" t="n"/>
      <c r="M974" s="9" t="n"/>
      <c r="N974" s="8" t="n"/>
      <c r="O974" s="9" t="n"/>
      <c r="P974" s="12">
        <f>IF(C974="","",C974-SUM(K974,M974,O974))</f>
        <v/>
      </c>
      <c r="Q974" s="13">
        <f>IF(A974="","",IF(P974&lt;=0,"eingelöst",IF(AND(I974&lt;&gt;"",TODAY()&gt;I974),"abgelaufen",IF(P974&lt;C974,"teilweise","offen"))))</f>
        <v/>
      </c>
    </row>
    <row r="975">
      <c r="A975" s="7" t="n"/>
      <c r="B975" s="8" t="n"/>
      <c r="C975" s="9" t="n"/>
      <c r="D975" s="10" t="n"/>
      <c r="E975" s="10" t="n"/>
      <c r="F975" s="10" t="n"/>
      <c r="G975" s="10" t="n"/>
      <c r="H975" s="10" t="n"/>
      <c r="I975" s="11">
        <f>IF(B975="","",DATE(YEAR(B975)+3,12,31))</f>
        <v/>
      </c>
      <c r="J975" s="8" t="n"/>
      <c r="K975" s="9" t="n"/>
      <c r="L975" s="8" t="n"/>
      <c r="M975" s="9" t="n"/>
      <c r="N975" s="8" t="n"/>
      <c r="O975" s="9" t="n"/>
      <c r="P975" s="12">
        <f>IF(C975="","",C975-SUM(K975,M975,O975))</f>
        <v/>
      </c>
      <c r="Q975" s="13">
        <f>IF(A975="","",IF(P975&lt;=0,"eingelöst",IF(AND(I975&lt;&gt;"",TODAY()&gt;I975),"abgelaufen",IF(P975&lt;C975,"teilweise","offen"))))</f>
        <v/>
      </c>
    </row>
    <row r="976">
      <c r="A976" s="7" t="n"/>
      <c r="B976" s="8" t="n"/>
      <c r="C976" s="9" t="n"/>
      <c r="D976" s="10" t="n"/>
      <c r="E976" s="10" t="n"/>
      <c r="F976" s="10" t="n"/>
      <c r="G976" s="10" t="n"/>
      <c r="H976" s="10" t="n"/>
      <c r="I976" s="11">
        <f>IF(B976="","",DATE(YEAR(B976)+3,12,31))</f>
        <v/>
      </c>
      <c r="J976" s="8" t="n"/>
      <c r="K976" s="9" t="n"/>
      <c r="L976" s="8" t="n"/>
      <c r="M976" s="9" t="n"/>
      <c r="N976" s="8" t="n"/>
      <c r="O976" s="9" t="n"/>
      <c r="P976" s="12">
        <f>IF(C976="","",C976-SUM(K976,M976,O976))</f>
        <v/>
      </c>
      <c r="Q976" s="13">
        <f>IF(A976="","",IF(P976&lt;=0,"eingelöst",IF(AND(I976&lt;&gt;"",TODAY()&gt;I976),"abgelaufen",IF(P976&lt;C976,"teilweise","offen"))))</f>
        <v/>
      </c>
    </row>
    <row r="977">
      <c r="A977" s="7" t="n"/>
      <c r="B977" s="8" t="n"/>
      <c r="C977" s="9" t="n"/>
      <c r="D977" s="10" t="n"/>
      <c r="E977" s="10" t="n"/>
      <c r="F977" s="10" t="n"/>
      <c r="G977" s="10" t="n"/>
      <c r="H977" s="10" t="n"/>
      <c r="I977" s="11">
        <f>IF(B977="","",DATE(YEAR(B977)+3,12,31))</f>
        <v/>
      </c>
      <c r="J977" s="8" t="n"/>
      <c r="K977" s="9" t="n"/>
      <c r="L977" s="8" t="n"/>
      <c r="M977" s="9" t="n"/>
      <c r="N977" s="8" t="n"/>
      <c r="O977" s="9" t="n"/>
      <c r="P977" s="12">
        <f>IF(C977="","",C977-SUM(K977,M977,O977))</f>
        <v/>
      </c>
      <c r="Q977" s="13">
        <f>IF(A977="","",IF(P977&lt;=0,"eingelöst",IF(AND(I977&lt;&gt;"",TODAY()&gt;I977),"abgelaufen",IF(P977&lt;C977,"teilweise","offen"))))</f>
        <v/>
      </c>
    </row>
    <row r="978">
      <c r="A978" s="7" t="n"/>
      <c r="B978" s="8" t="n"/>
      <c r="C978" s="9" t="n"/>
      <c r="D978" s="10" t="n"/>
      <c r="E978" s="10" t="n"/>
      <c r="F978" s="10" t="n"/>
      <c r="G978" s="10" t="n"/>
      <c r="H978" s="10" t="n"/>
      <c r="I978" s="11">
        <f>IF(B978="","",DATE(YEAR(B978)+3,12,31))</f>
        <v/>
      </c>
      <c r="J978" s="8" t="n"/>
      <c r="K978" s="9" t="n"/>
      <c r="L978" s="8" t="n"/>
      <c r="M978" s="9" t="n"/>
      <c r="N978" s="8" t="n"/>
      <c r="O978" s="9" t="n"/>
      <c r="P978" s="12">
        <f>IF(C978="","",C978-SUM(K978,M978,O978))</f>
        <v/>
      </c>
      <c r="Q978" s="13">
        <f>IF(A978="","",IF(P978&lt;=0,"eingelöst",IF(AND(I978&lt;&gt;"",TODAY()&gt;I978),"abgelaufen",IF(P978&lt;C978,"teilweise","offen"))))</f>
        <v/>
      </c>
    </row>
    <row r="979">
      <c r="A979" s="7" t="n"/>
      <c r="B979" s="8" t="n"/>
      <c r="C979" s="9" t="n"/>
      <c r="D979" s="10" t="n"/>
      <c r="E979" s="10" t="n"/>
      <c r="F979" s="10" t="n"/>
      <c r="G979" s="10" t="n"/>
      <c r="H979" s="10" t="n"/>
      <c r="I979" s="11">
        <f>IF(B979="","",DATE(YEAR(B979)+3,12,31))</f>
        <v/>
      </c>
      <c r="J979" s="8" t="n"/>
      <c r="K979" s="9" t="n"/>
      <c r="L979" s="8" t="n"/>
      <c r="M979" s="9" t="n"/>
      <c r="N979" s="8" t="n"/>
      <c r="O979" s="9" t="n"/>
      <c r="P979" s="12">
        <f>IF(C979="","",C979-SUM(K979,M979,O979))</f>
        <v/>
      </c>
      <c r="Q979" s="13">
        <f>IF(A979="","",IF(P979&lt;=0,"eingelöst",IF(AND(I979&lt;&gt;"",TODAY()&gt;I979),"abgelaufen",IF(P979&lt;C979,"teilweise","offen"))))</f>
        <v/>
      </c>
    </row>
    <row r="980">
      <c r="A980" s="7" t="n"/>
      <c r="B980" s="8" t="n"/>
      <c r="C980" s="9" t="n"/>
      <c r="D980" s="10" t="n"/>
      <c r="E980" s="10" t="n"/>
      <c r="F980" s="10" t="n"/>
      <c r="G980" s="10" t="n"/>
      <c r="H980" s="10" t="n"/>
      <c r="I980" s="11">
        <f>IF(B980="","",DATE(YEAR(B980)+3,12,31))</f>
        <v/>
      </c>
      <c r="J980" s="8" t="n"/>
      <c r="K980" s="9" t="n"/>
      <c r="L980" s="8" t="n"/>
      <c r="M980" s="9" t="n"/>
      <c r="N980" s="8" t="n"/>
      <c r="O980" s="9" t="n"/>
      <c r="P980" s="12">
        <f>IF(C980="","",C980-SUM(K980,M980,O980))</f>
        <v/>
      </c>
      <c r="Q980" s="13">
        <f>IF(A980="","",IF(P980&lt;=0,"eingelöst",IF(AND(I980&lt;&gt;"",TODAY()&gt;I980),"abgelaufen",IF(P980&lt;C980,"teilweise","offen"))))</f>
        <v/>
      </c>
    </row>
    <row r="981">
      <c r="A981" s="7" t="n"/>
      <c r="B981" s="8" t="n"/>
      <c r="C981" s="9" t="n"/>
      <c r="D981" s="10" t="n"/>
      <c r="E981" s="10" t="n"/>
      <c r="F981" s="10" t="n"/>
      <c r="G981" s="10" t="n"/>
      <c r="H981" s="10" t="n"/>
      <c r="I981" s="11">
        <f>IF(B981="","",DATE(YEAR(B981)+3,12,31))</f>
        <v/>
      </c>
      <c r="J981" s="8" t="n"/>
      <c r="K981" s="9" t="n"/>
      <c r="L981" s="8" t="n"/>
      <c r="M981" s="9" t="n"/>
      <c r="N981" s="8" t="n"/>
      <c r="O981" s="9" t="n"/>
      <c r="P981" s="12">
        <f>IF(C981="","",C981-SUM(K981,M981,O981))</f>
        <v/>
      </c>
      <c r="Q981" s="13">
        <f>IF(A981="","",IF(P981&lt;=0,"eingelöst",IF(AND(I981&lt;&gt;"",TODAY()&gt;I981),"abgelaufen",IF(P981&lt;C981,"teilweise","offen"))))</f>
        <v/>
      </c>
    </row>
    <row r="982">
      <c r="A982" s="7" t="n"/>
      <c r="B982" s="8" t="n"/>
      <c r="C982" s="9" t="n"/>
      <c r="D982" s="10" t="n"/>
      <c r="E982" s="10" t="n"/>
      <c r="F982" s="10" t="n"/>
      <c r="G982" s="10" t="n"/>
      <c r="H982" s="10" t="n"/>
      <c r="I982" s="11">
        <f>IF(B982="","",DATE(YEAR(B982)+3,12,31))</f>
        <v/>
      </c>
      <c r="J982" s="8" t="n"/>
      <c r="K982" s="9" t="n"/>
      <c r="L982" s="8" t="n"/>
      <c r="M982" s="9" t="n"/>
      <c r="N982" s="8" t="n"/>
      <c r="O982" s="9" t="n"/>
      <c r="P982" s="12">
        <f>IF(C982="","",C982-SUM(K982,M982,O982))</f>
        <v/>
      </c>
      <c r="Q982" s="13">
        <f>IF(A982="","",IF(P982&lt;=0,"eingelöst",IF(AND(I982&lt;&gt;"",TODAY()&gt;I982),"abgelaufen",IF(P982&lt;C982,"teilweise","offen"))))</f>
        <v/>
      </c>
    </row>
    <row r="983">
      <c r="A983" s="7" t="n"/>
      <c r="B983" s="8" t="n"/>
      <c r="C983" s="9" t="n"/>
      <c r="D983" s="10" t="n"/>
      <c r="E983" s="10" t="n"/>
      <c r="F983" s="10" t="n"/>
      <c r="G983" s="10" t="n"/>
      <c r="H983" s="10" t="n"/>
      <c r="I983" s="11">
        <f>IF(B983="","",DATE(YEAR(B983)+3,12,31))</f>
        <v/>
      </c>
      <c r="J983" s="8" t="n"/>
      <c r="K983" s="9" t="n"/>
      <c r="L983" s="8" t="n"/>
      <c r="M983" s="9" t="n"/>
      <c r="N983" s="8" t="n"/>
      <c r="O983" s="9" t="n"/>
      <c r="P983" s="12">
        <f>IF(C983="","",C983-SUM(K983,M983,O983))</f>
        <v/>
      </c>
      <c r="Q983" s="13">
        <f>IF(A983="","",IF(P983&lt;=0,"eingelöst",IF(AND(I983&lt;&gt;"",TODAY()&gt;I983),"abgelaufen",IF(P983&lt;C983,"teilweise","offen"))))</f>
        <v/>
      </c>
    </row>
    <row r="984">
      <c r="A984" s="7" t="n"/>
      <c r="B984" s="8" t="n"/>
      <c r="C984" s="9" t="n"/>
      <c r="D984" s="10" t="n"/>
      <c r="E984" s="10" t="n"/>
      <c r="F984" s="10" t="n"/>
      <c r="G984" s="10" t="n"/>
      <c r="H984" s="10" t="n"/>
      <c r="I984" s="11">
        <f>IF(B984="","",DATE(YEAR(B984)+3,12,31))</f>
        <v/>
      </c>
      <c r="J984" s="8" t="n"/>
      <c r="K984" s="9" t="n"/>
      <c r="L984" s="8" t="n"/>
      <c r="M984" s="9" t="n"/>
      <c r="N984" s="8" t="n"/>
      <c r="O984" s="9" t="n"/>
      <c r="P984" s="12">
        <f>IF(C984="","",C984-SUM(K984,M984,O984))</f>
        <v/>
      </c>
      <c r="Q984" s="13">
        <f>IF(A984="","",IF(P984&lt;=0,"eingelöst",IF(AND(I984&lt;&gt;"",TODAY()&gt;I984),"abgelaufen",IF(P984&lt;C984,"teilweise","offen"))))</f>
        <v/>
      </c>
    </row>
    <row r="985">
      <c r="A985" s="7" t="n"/>
      <c r="B985" s="8" t="n"/>
      <c r="C985" s="9" t="n"/>
      <c r="D985" s="10" t="n"/>
      <c r="E985" s="10" t="n"/>
      <c r="F985" s="10" t="n"/>
      <c r="G985" s="10" t="n"/>
      <c r="H985" s="10" t="n"/>
      <c r="I985" s="11">
        <f>IF(B985="","",DATE(YEAR(B985)+3,12,31))</f>
        <v/>
      </c>
      <c r="J985" s="8" t="n"/>
      <c r="K985" s="9" t="n"/>
      <c r="L985" s="8" t="n"/>
      <c r="M985" s="9" t="n"/>
      <c r="N985" s="8" t="n"/>
      <c r="O985" s="9" t="n"/>
      <c r="P985" s="12">
        <f>IF(C985="","",C985-SUM(K985,M985,O985))</f>
        <v/>
      </c>
      <c r="Q985" s="13">
        <f>IF(A985="","",IF(P985&lt;=0,"eingelöst",IF(AND(I985&lt;&gt;"",TODAY()&gt;I985),"abgelaufen",IF(P985&lt;C985,"teilweise","offen"))))</f>
        <v/>
      </c>
    </row>
    <row r="986">
      <c r="A986" s="7" t="n"/>
      <c r="B986" s="8" t="n"/>
      <c r="C986" s="9" t="n"/>
      <c r="D986" s="10" t="n"/>
      <c r="E986" s="10" t="n"/>
      <c r="F986" s="10" t="n"/>
      <c r="G986" s="10" t="n"/>
      <c r="H986" s="10" t="n"/>
      <c r="I986" s="11">
        <f>IF(B986="","",DATE(YEAR(B986)+3,12,31))</f>
        <v/>
      </c>
      <c r="J986" s="8" t="n"/>
      <c r="K986" s="9" t="n"/>
      <c r="L986" s="8" t="n"/>
      <c r="M986" s="9" t="n"/>
      <c r="N986" s="8" t="n"/>
      <c r="O986" s="9" t="n"/>
      <c r="P986" s="12">
        <f>IF(C986="","",C986-SUM(K986,M986,O986))</f>
        <v/>
      </c>
      <c r="Q986" s="13">
        <f>IF(A986="","",IF(P986&lt;=0,"eingelöst",IF(AND(I986&lt;&gt;"",TODAY()&gt;I986),"abgelaufen",IF(P986&lt;C986,"teilweise","offen"))))</f>
        <v/>
      </c>
    </row>
    <row r="987">
      <c r="A987" s="7" t="n"/>
      <c r="B987" s="8" t="n"/>
      <c r="C987" s="9" t="n"/>
      <c r="D987" s="10" t="n"/>
      <c r="E987" s="10" t="n"/>
      <c r="F987" s="10" t="n"/>
      <c r="G987" s="10" t="n"/>
      <c r="H987" s="10" t="n"/>
      <c r="I987" s="11">
        <f>IF(B987="","",DATE(YEAR(B987)+3,12,31))</f>
        <v/>
      </c>
      <c r="J987" s="8" t="n"/>
      <c r="K987" s="9" t="n"/>
      <c r="L987" s="8" t="n"/>
      <c r="M987" s="9" t="n"/>
      <c r="N987" s="8" t="n"/>
      <c r="O987" s="9" t="n"/>
      <c r="P987" s="12">
        <f>IF(C987="","",C987-SUM(K987,M987,O987))</f>
        <v/>
      </c>
      <c r="Q987" s="13">
        <f>IF(A987="","",IF(P987&lt;=0,"eingelöst",IF(AND(I987&lt;&gt;"",TODAY()&gt;I987),"abgelaufen",IF(P987&lt;C987,"teilweise","offen"))))</f>
        <v/>
      </c>
    </row>
    <row r="988">
      <c r="A988" s="7" t="n"/>
      <c r="B988" s="8" t="n"/>
      <c r="C988" s="9" t="n"/>
      <c r="D988" s="10" t="n"/>
      <c r="E988" s="10" t="n"/>
      <c r="F988" s="10" t="n"/>
      <c r="G988" s="10" t="n"/>
      <c r="H988" s="10" t="n"/>
      <c r="I988" s="11">
        <f>IF(B988="","",DATE(YEAR(B988)+3,12,31))</f>
        <v/>
      </c>
      <c r="J988" s="8" t="n"/>
      <c r="K988" s="9" t="n"/>
      <c r="L988" s="8" t="n"/>
      <c r="M988" s="9" t="n"/>
      <c r="N988" s="8" t="n"/>
      <c r="O988" s="9" t="n"/>
      <c r="P988" s="12">
        <f>IF(C988="","",C988-SUM(K988,M988,O988))</f>
        <v/>
      </c>
      <c r="Q988" s="13">
        <f>IF(A988="","",IF(P988&lt;=0,"eingelöst",IF(AND(I988&lt;&gt;"",TODAY()&gt;I988),"abgelaufen",IF(P988&lt;C988,"teilweise","offen"))))</f>
        <v/>
      </c>
    </row>
    <row r="989">
      <c r="A989" s="7" t="n"/>
      <c r="B989" s="8" t="n"/>
      <c r="C989" s="9" t="n"/>
      <c r="D989" s="10" t="n"/>
      <c r="E989" s="10" t="n"/>
      <c r="F989" s="10" t="n"/>
      <c r="G989" s="10" t="n"/>
      <c r="H989" s="10" t="n"/>
      <c r="I989" s="11">
        <f>IF(B989="","",DATE(YEAR(B989)+3,12,31))</f>
        <v/>
      </c>
      <c r="J989" s="8" t="n"/>
      <c r="K989" s="9" t="n"/>
      <c r="L989" s="8" t="n"/>
      <c r="M989" s="9" t="n"/>
      <c r="N989" s="8" t="n"/>
      <c r="O989" s="9" t="n"/>
      <c r="P989" s="12">
        <f>IF(C989="","",C989-SUM(K989,M989,O989))</f>
        <v/>
      </c>
      <c r="Q989" s="13">
        <f>IF(A989="","",IF(P989&lt;=0,"eingelöst",IF(AND(I989&lt;&gt;"",TODAY()&gt;I989),"abgelaufen",IF(P989&lt;C989,"teilweise","offen"))))</f>
        <v/>
      </c>
    </row>
    <row r="990">
      <c r="A990" s="7" t="n"/>
      <c r="B990" s="8" t="n"/>
      <c r="C990" s="9" t="n"/>
      <c r="D990" s="10" t="n"/>
      <c r="E990" s="10" t="n"/>
      <c r="F990" s="10" t="n"/>
      <c r="G990" s="10" t="n"/>
      <c r="H990" s="10" t="n"/>
      <c r="I990" s="11">
        <f>IF(B990="","",DATE(YEAR(B990)+3,12,31))</f>
        <v/>
      </c>
      <c r="J990" s="8" t="n"/>
      <c r="K990" s="9" t="n"/>
      <c r="L990" s="8" t="n"/>
      <c r="M990" s="9" t="n"/>
      <c r="N990" s="8" t="n"/>
      <c r="O990" s="9" t="n"/>
      <c r="P990" s="12">
        <f>IF(C990="","",C990-SUM(K990,M990,O990))</f>
        <v/>
      </c>
      <c r="Q990" s="13">
        <f>IF(A990="","",IF(P990&lt;=0,"eingelöst",IF(AND(I990&lt;&gt;"",TODAY()&gt;I990),"abgelaufen",IF(P990&lt;C990,"teilweise","offen"))))</f>
        <v/>
      </c>
    </row>
    <row r="991">
      <c r="A991" s="7" t="n"/>
      <c r="B991" s="8" t="n"/>
      <c r="C991" s="9" t="n"/>
      <c r="D991" s="10" t="n"/>
      <c r="E991" s="10" t="n"/>
      <c r="F991" s="10" t="n"/>
      <c r="G991" s="10" t="n"/>
      <c r="H991" s="10" t="n"/>
      <c r="I991" s="11">
        <f>IF(B991="","",DATE(YEAR(B991)+3,12,31))</f>
        <v/>
      </c>
      <c r="J991" s="8" t="n"/>
      <c r="K991" s="9" t="n"/>
      <c r="L991" s="8" t="n"/>
      <c r="M991" s="9" t="n"/>
      <c r="N991" s="8" t="n"/>
      <c r="O991" s="9" t="n"/>
      <c r="P991" s="12">
        <f>IF(C991="","",C991-SUM(K991,M991,O991))</f>
        <v/>
      </c>
      <c r="Q991" s="13">
        <f>IF(A991="","",IF(P991&lt;=0,"eingelöst",IF(AND(I991&lt;&gt;"",TODAY()&gt;I991),"abgelaufen",IF(P991&lt;C991,"teilweise","offen"))))</f>
        <v/>
      </c>
    </row>
    <row r="992">
      <c r="A992" s="7" t="n"/>
      <c r="B992" s="8" t="n"/>
      <c r="C992" s="9" t="n"/>
      <c r="D992" s="10" t="n"/>
      <c r="E992" s="10" t="n"/>
      <c r="F992" s="10" t="n"/>
      <c r="G992" s="10" t="n"/>
      <c r="H992" s="10" t="n"/>
      <c r="I992" s="11">
        <f>IF(B992="","",DATE(YEAR(B992)+3,12,31))</f>
        <v/>
      </c>
      <c r="J992" s="8" t="n"/>
      <c r="K992" s="9" t="n"/>
      <c r="L992" s="8" t="n"/>
      <c r="M992" s="9" t="n"/>
      <c r="N992" s="8" t="n"/>
      <c r="O992" s="9" t="n"/>
      <c r="P992" s="12">
        <f>IF(C992="","",C992-SUM(K992,M992,O992))</f>
        <v/>
      </c>
      <c r="Q992" s="13">
        <f>IF(A992="","",IF(P992&lt;=0,"eingelöst",IF(AND(I992&lt;&gt;"",TODAY()&gt;I992),"abgelaufen",IF(P992&lt;C992,"teilweise","offen"))))</f>
        <v/>
      </c>
    </row>
    <row r="993">
      <c r="A993" s="7" t="n"/>
      <c r="B993" s="8" t="n"/>
      <c r="C993" s="9" t="n"/>
      <c r="D993" s="10" t="n"/>
      <c r="E993" s="10" t="n"/>
      <c r="F993" s="10" t="n"/>
      <c r="G993" s="10" t="n"/>
      <c r="H993" s="10" t="n"/>
      <c r="I993" s="11">
        <f>IF(B993="","",DATE(YEAR(B993)+3,12,31))</f>
        <v/>
      </c>
      <c r="J993" s="8" t="n"/>
      <c r="K993" s="9" t="n"/>
      <c r="L993" s="8" t="n"/>
      <c r="M993" s="9" t="n"/>
      <c r="N993" s="8" t="n"/>
      <c r="O993" s="9" t="n"/>
      <c r="P993" s="12">
        <f>IF(C993="","",C993-SUM(K993,M993,O993))</f>
        <v/>
      </c>
      <c r="Q993" s="13">
        <f>IF(A993="","",IF(P993&lt;=0,"eingelöst",IF(AND(I993&lt;&gt;"",TODAY()&gt;I993),"abgelaufen",IF(P993&lt;C993,"teilweise","offen"))))</f>
        <v/>
      </c>
    </row>
    <row r="994">
      <c r="A994" s="7" t="n"/>
      <c r="B994" s="8" t="n"/>
      <c r="C994" s="9" t="n"/>
      <c r="D994" s="10" t="n"/>
      <c r="E994" s="10" t="n"/>
      <c r="F994" s="10" t="n"/>
      <c r="G994" s="10" t="n"/>
      <c r="H994" s="10" t="n"/>
      <c r="I994" s="11">
        <f>IF(B994="","",DATE(YEAR(B994)+3,12,31))</f>
        <v/>
      </c>
      <c r="J994" s="8" t="n"/>
      <c r="K994" s="9" t="n"/>
      <c r="L994" s="8" t="n"/>
      <c r="M994" s="9" t="n"/>
      <c r="N994" s="8" t="n"/>
      <c r="O994" s="9" t="n"/>
      <c r="P994" s="12">
        <f>IF(C994="","",C994-SUM(K994,M994,O994))</f>
        <v/>
      </c>
      <c r="Q994" s="13">
        <f>IF(A994="","",IF(P994&lt;=0,"eingelöst",IF(AND(I994&lt;&gt;"",TODAY()&gt;I994),"abgelaufen",IF(P994&lt;C994,"teilweise","offen"))))</f>
        <v/>
      </c>
    </row>
    <row r="995">
      <c r="A995" s="7" t="n"/>
      <c r="B995" s="8" t="n"/>
      <c r="C995" s="9" t="n"/>
      <c r="D995" s="10" t="n"/>
      <c r="E995" s="10" t="n"/>
      <c r="F995" s="10" t="n"/>
      <c r="G995" s="10" t="n"/>
      <c r="H995" s="10" t="n"/>
      <c r="I995" s="11">
        <f>IF(B995="","",DATE(YEAR(B995)+3,12,31))</f>
        <v/>
      </c>
      <c r="J995" s="8" t="n"/>
      <c r="K995" s="9" t="n"/>
      <c r="L995" s="8" t="n"/>
      <c r="M995" s="9" t="n"/>
      <c r="N995" s="8" t="n"/>
      <c r="O995" s="9" t="n"/>
      <c r="P995" s="12">
        <f>IF(C995="","",C995-SUM(K995,M995,O995))</f>
        <v/>
      </c>
      <c r="Q995" s="13">
        <f>IF(A995="","",IF(P995&lt;=0,"eingelöst",IF(AND(I995&lt;&gt;"",TODAY()&gt;I995),"abgelaufen",IF(P995&lt;C995,"teilweise","offen"))))</f>
        <v/>
      </c>
    </row>
    <row r="996">
      <c r="A996" s="7" t="n"/>
      <c r="B996" s="8" t="n"/>
      <c r="C996" s="9" t="n"/>
      <c r="D996" s="10" t="n"/>
      <c r="E996" s="10" t="n"/>
      <c r="F996" s="10" t="n"/>
      <c r="G996" s="10" t="n"/>
      <c r="H996" s="10" t="n"/>
      <c r="I996" s="11">
        <f>IF(B996="","",DATE(YEAR(B996)+3,12,31))</f>
        <v/>
      </c>
      <c r="J996" s="8" t="n"/>
      <c r="K996" s="9" t="n"/>
      <c r="L996" s="8" t="n"/>
      <c r="M996" s="9" t="n"/>
      <c r="N996" s="8" t="n"/>
      <c r="O996" s="9" t="n"/>
      <c r="P996" s="12">
        <f>IF(C996="","",C996-SUM(K996,M996,O996))</f>
        <v/>
      </c>
      <c r="Q996" s="13">
        <f>IF(A996="","",IF(P996&lt;=0,"eingelöst",IF(AND(I996&lt;&gt;"",TODAY()&gt;I996),"abgelaufen",IF(P996&lt;C996,"teilweise","offen"))))</f>
        <v/>
      </c>
    </row>
    <row r="997">
      <c r="A997" s="7" t="n"/>
      <c r="B997" s="8" t="n"/>
      <c r="C997" s="9" t="n"/>
      <c r="D997" s="10" t="n"/>
      <c r="E997" s="10" t="n"/>
      <c r="F997" s="10" t="n"/>
      <c r="G997" s="10" t="n"/>
      <c r="H997" s="10" t="n"/>
      <c r="I997" s="11">
        <f>IF(B997="","",DATE(YEAR(B997)+3,12,31))</f>
        <v/>
      </c>
      <c r="J997" s="8" t="n"/>
      <c r="K997" s="9" t="n"/>
      <c r="L997" s="8" t="n"/>
      <c r="M997" s="9" t="n"/>
      <c r="N997" s="8" t="n"/>
      <c r="O997" s="9" t="n"/>
      <c r="P997" s="12">
        <f>IF(C997="","",C997-SUM(K997,M997,O997))</f>
        <v/>
      </c>
      <c r="Q997" s="13">
        <f>IF(A997="","",IF(P997&lt;=0,"eingelöst",IF(AND(I997&lt;&gt;"",TODAY()&gt;I997),"abgelaufen",IF(P997&lt;C997,"teilweise","offen"))))</f>
        <v/>
      </c>
    </row>
    <row r="998">
      <c r="A998" s="7" t="n"/>
      <c r="B998" s="8" t="n"/>
      <c r="C998" s="9" t="n"/>
      <c r="D998" s="10" t="n"/>
      <c r="E998" s="10" t="n"/>
      <c r="F998" s="10" t="n"/>
      <c r="G998" s="10" t="n"/>
      <c r="H998" s="10" t="n"/>
      <c r="I998" s="11">
        <f>IF(B998="","",DATE(YEAR(B998)+3,12,31))</f>
        <v/>
      </c>
      <c r="J998" s="8" t="n"/>
      <c r="K998" s="9" t="n"/>
      <c r="L998" s="8" t="n"/>
      <c r="M998" s="9" t="n"/>
      <c r="N998" s="8" t="n"/>
      <c r="O998" s="9" t="n"/>
      <c r="P998" s="12">
        <f>IF(C998="","",C998-SUM(K998,M998,O998))</f>
        <v/>
      </c>
      <c r="Q998" s="13">
        <f>IF(A998="","",IF(P998&lt;=0,"eingelöst",IF(AND(I998&lt;&gt;"",TODAY()&gt;I998),"abgelaufen",IF(P998&lt;C998,"teilweise","offen"))))</f>
        <v/>
      </c>
    </row>
    <row r="999">
      <c r="A999" s="7" t="n"/>
      <c r="B999" s="8" t="n"/>
      <c r="C999" s="9" t="n"/>
      <c r="D999" s="10" t="n"/>
      <c r="E999" s="10" t="n"/>
      <c r="F999" s="10" t="n"/>
      <c r="G999" s="10" t="n"/>
      <c r="H999" s="10" t="n"/>
      <c r="I999" s="11">
        <f>IF(B999="","",DATE(YEAR(B999)+3,12,31))</f>
        <v/>
      </c>
      <c r="J999" s="8" t="n"/>
      <c r="K999" s="9" t="n"/>
      <c r="L999" s="8" t="n"/>
      <c r="M999" s="9" t="n"/>
      <c r="N999" s="8" t="n"/>
      <c r="O999" s="9" t="n"/>
      <c r="P999" s="12">
        <f>IF(C999="","",C999-SUM(K999,M999,O999))</f>
        <v/>
      </c>
      <c r="Q999" s="13">
        <f>IF(A999="","",IF(P999&lt;=0,"eingelöst",IF(AND(I999&lt;&gt;"",TODAY()&gt;I999),"abgelaufen",IF(P999&lt;C999,"teilweise","offen"))))</f>
        <v/>
      </c>
    </row>
    <row r="1000">
      <c r="A1000" s="7" t="n"/>
      <c r="B1000" s="8" t="n"/>
      <c r="C1000" s="9" t="n"/>
      <c r="D1000" s="10" t="n"/>
      <c r="E1000" s="10" t="n"/>
      <c r="F1000" s="10" t="n"/>
      <c r="G1000" s="10" t="n"/>
      <c r="H1000" s="10" t="n"/>
      <c r="I1000" s="11">
        <f>IF(B1000="","",DATE(YEAR(B1000)+3,12,31))</f>
        <v/>
      </c>
      <c r="J1000" s="8" t="n"/>
      <c r="K1000" s="9" t="n"/>
      <c r="L1000" s="8" t="n"/>
      <c r="M1000" s="9" t="n"/>
      <c r="N1000" s="8" t="n"/>
      <c r="O1000" s="9" t="n"/>
      <c r="P1000" s="12">
        <f>IF(C1000="","",C1000-SUM(K1000,M1000,O1000))</f>
        <v/>
      </c>
      <c r="Q1000" s="13">
        <f>IF(A1000="","",IF(P1000&lt;=0,"eingelöst",IF(AND(I1000&lt;&gt;"",TODAY()&gt;I1000),"abgelaufen",IF(P1000&lt;C1000,"teilweise","offen"))))</f>
        <v/>
      </c>
    </row>
    <row r="1001">
      <c r="A1001" s="7" t="n"/>
      <c r="B1001" s="8" t="n"/>
      <c r="C1001" s="9" t="n"/>
      <c r="D1001" s="10" t="n"/>
      <c r="E1001" s="10" t="n"/>
      <c r="F1001" s="10" t="n"/>
      <c r="G1001" s="10" t="n"/>
      <c r="H1001" s="10" t="n"/>
      <c r="I1001" s="11">
        <f>IF(B1001="","",DATE(YEAR(B1001)+3,12,31))</f>
        <v/>
      </c>
      <c r="J1001" s="8" t="n"/>
      <c r="K1001" s="9" t="n"/>
      <c r="L1001" s="8" t="n"/>
      <c r="M1001" s="9" t="n"/>
      <c r="N1001" s="8" t="n"/>
      <c r="O1001" s="9" t="n"/>
      <c r="P1001" s="12">
        <f>IF(C1001="","",C1001-SUM(K1001,M1001,O1001))</f>
        <v/>
      </c>
      <c r="Q1001" s="13">
        <f>IF(A1001="","",IF(P1001&lt;=0,"eingelöst",IF(AND(I1001&lt;&gt;"",TODAY()&gt;I1001),"abgelaufen",IF(P1001&lt;C1001,"teilweise","offen"))))</f>
        <v/>
      </c>
    </row>
    <row r="1002">
      <c r="A1002" s="7" t="n"/>
      <c r="B1002" s="8" t="n"/>
      <c r="C1002" s="9" t="n"/>
      <c r="D1002" s="10" t="n"/>
      <c r="E1002" s="10" t="n"/>
      <c r="F1002" s="10" t="n"/>
      <c r="G1002" s="10" t="n"/>
      <c r="H1002" s="10" t="n"/>
      <c r="I1002" s="11">
        <f>IF(B1002="","",DATE(YEAR(B1002)+3,12,31))</f>
        <v/>
      </c>
      <c r="J1002" s="8" t="n"/>
      <c r="K1002" s="9" t="n"/>
      <c r="L1002" s="8" t="n"/>
      <c r="M1002" s="9" t="n"/>
      <c r="N1002" s="8" t="n"/>
      <c r="O1002" s="9" t="n"/>
      <c r="P1002" s="12">
        <f>IF(C1002="","",C1002-SUM(K1002,M1002,O1002))</f>
        <v/>
      </c>
      <c r="Q1002" s="13">
        <f>IF(A1002="","",IF(P1002&lt;=0,"eingelöst",IF(AND(I1002&lt;&gt;"",TODAY()&gt;I1002),"abgelaufen",IF(P1002&lt;C1002,"teilweise","offen"))))</f>
        <v/>
      </c>
    </row>
    <row r="1003">
      <c r="A1003" s="7" t="n"/>
      <c r="B1003" s="8" t="n"/>
      <c r="C1003" s="9" t="n"/>
      <c r="D1003" s="10" t="n"/>
      <c r="E1003" s="10" t="n"/>
      <c r="F1003" s="10" t="n"/>
      <c r="G1003" s="10" t="n"/>
      <c r="H1003" s="10" t="n"/>
      <c r="I1003" s="11">
        <f>IF(B1003="","",DATE(YEAR(B1003)+3,12,31))</f>
        <v/>
      </c>
      <c r="J1003" s="8" t="n"/>
      <c r="K1003" s="9" t="n"/>
      <c r="L1003" s="8" t="n"/>
      <c r="M1003" s="9" t="n"/>
      <c r="N1003" s="8" t="n"/>
      <c r="O1003" s="9" t="n"/>
      <c r="P1003" s="12">
        <f>IF(C1003="","",C1003-SUM(K1003,M1003,O1003))</f>
        <v/>
      </c>
      <c r="Q1003" s="13">
        <f>IF(A1003="","",IF(P1003&lt;=0,"eingelöst",IF(AND(I1003&lt;&gt;"",TODAY()&gt;I1003),"abgelaufen",IF(P1003&lt;C1003,"teilweise","offen"))))</f>
        <v/>
      </c>
    </row>
    <row r="1004">
      <c r="A1004" s="7" t="n"/>
      <c r="B1004" s="8" t="n"/>
      <c r="C1004" s="9" t="n"/>
      <c r="D1004" s="10" t="n"/>
      <c r="E1004" s="10" t="n"/>
      <c r="F1004" s="10" t="n"/>
      <c r="G1004" s="10" t="n"/>
      <c r="H1004" s="10" t="n"/>
      <c r="I1004" s="11">
        <f>IF(B1004="","",DATE(YEAR(B1004)+3,12,31))</f>
        <v/>
      </c>
      <c r="J1004" s="8" t="n"/>
      <c r="K1004" s="9" t="n"/>
      <c r="L1004" s="8" t="n"/>
      <c r="M1004" s="9" t="n"/>
      <c r="N1004" s="8" t="n"/>
      <c r="O1004" s="9" t="n"/>
      <c r="P1004" s="12">
        <f>IF(C1004="","",C1004-SUM(K1004,M1004,O1004))</f>
        <v/>
      </c>
      <c r="Q1004" s="13">
        <f>IF(A1004="","",IF(P1004&lt;=0,"eingelöst",IF(AND(I1004&lt;&gt;"",TODAY()&gt;I1004),"abgelaufen",IF(P1004&lt;C1004,"teilweise","offen"))))</f>
        <v/>
      </c>
    </row>
  </sheetData>
  <autoFilter ref="A4:Q1004"/>
  <conditionalFormatting sqref="Q5:Q1004">
    <cfRule type="expression" priority="1" dxfId="0">
      <formula>$Q5="offen"</formula>
    </cfRule>
    <cfRule type="expression" priority="2" dxfId="1">
      <formula>$Q5="teilweise"</formula>
    </cfRule>
    <cfRule type="expression" priority="3" dxfId="2">
      <formula>$Q5="eingelöst"</formula>
    </cfRule>
    <cfRule type="expression" priority="4" dxfId="3">
      <formula>$Q5="abgelaufen"</formula>
    </cfRule>
  </conditionalFormatting>
  <conditionalFormatting sqref="A5:A1004">
    <cfRule type="expression" priority="5" dxfId="4">
      <formula>AND($A5&lt;&gt;"",COUNTIF($A$5:$A$1004,$A5)&gt;1)</formula>
    </cfRule>
  </conditionalFormatting>
  <conditionalFormatting sqref="P5:P1004">
    <cfRule type="expression" priority="6" dxfId="4">
      <formula>AND($P5&lt;&gt;"",$P5&lt;0)</formula>
    </cfRule>
  </conditionalFormatting>
  <dataValidations count="1">
    <dataValidation sqref="G5:G1004" showDropDown="0" showInputMessage="0" showErrorMessage="0" allowBlank="1" type="list">
      <formula1>"Online,Im Laden"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4" t="inlineStr">
        <is>
          <t>So funktioniert das Gutscheinbuch</t>
        </is>
      </c>
    </row>
    <row r="4">
      <c r="B4" s="15" t="inlineStr">
        <is>
          <t>Gutschein verkaufen</t>
        </is>
      </c>
    </row>
    <row r="5">
      <c r="A5" s="16" t="inlineStr">
        <is>
          <t>1.</t>
        </is>
      </c>
      <c r="B5" s="17" t="inlineStr">
        <is>
          <t>Datei „Gutschein erstellen.html“ öffnen (Doppelklick, öffnet im Browser).</t>
        </is>
      </c>
    </row>
    <row r="6">
      <c r="A6" s="16" t="inlineStr">
        <is>
          <t>2.</t>
        </is>
      </c>
      <c r="B6" s="17" t="inlineStr">
        <is>
          <t>Betrag wählen, Käufer und E-Mail eintragen. Die Gutscheinnummer wird automatisch erzeugt.</t>
        </is>
      </c>
    </row>
    <row r="7">
      <c r="A7" s="16" t="inlineStr">
        <is>
          <t>3.</t>
        </is>
      </c>
      <c r="B7" s="17" t="inlineStr">
        <is>
          <t>„Als PDF speichern“ → im Druckfenster „Als PDF sichern“ wählen → PDF an den Kunden mailen.</t>
        </is>
      </c>
    </row>
    <row r="8">
      <c r="A8" s="16" t="inlineStr">
        <is>
          <t>4.</t>
        </is>
      </c>
      <c r="B8" s="17" t="inlineStr">
        <is>
          <t>„Zeile fürs Gutscheinbuch kopieren“ klicken → hier im Blatt „Gutscheine“ in Spalte A der nächsten freien Zeile einfügen.</t>
        </is>
      </c>
    </row>
    <row r="9">
      <c r="A9" s="16" t="inlineStr"/>
      <c r="B9" s="17" t="inlineStr"/>
    </row>
    <row r="10">
      <c r="B10" s="15" t="inlineStr">
        <is>
          <t>Gutschein einlösen</t>
        </is>
      </c>
    </row>
    <row r="11">
      <c r="A11" s="16" t="inlineStr">
        <is>
          <t>1.</t>
        </is>
      </c>
      <c r="B11" s="17" t="inlineStr">
        <is>
          <t>Nummer vom Gutschein mit Strg+F (Mac: ⌘+F) hier suchen.</t>
        </is>
      </c>
    </row>
    <row r="12">
      <c r="A12" s="16" t="inlineStr">
        <is>
          <t>2.</t>
        </is>
      </c>
      <c r="B12" s="17" t="inlineStr">
        <is>
          <t>Status prüfen: „offen“ oder „teilweise“ = gültig. „eingelöst“ oder „abgelaufen“ = nicht mehr gültig. Nummer nicht gefunden = kein gültiger Gutschein.</t>
        </is>
      </c>
    </row>
    <row r="13">
      <c r="A13" s="16" t="inlineStr">
        <is>
          <t>3.</t>
        </is>
      </c>
      <c r="B13" s="17" t="inlineStr">
        <is>
          <t>Datum und eingelösten Betrag in „Eingelöst am (1)“ und „Betrag (1)“ eintragen. Bei Teileinlösungen die nächste freie Spalte (2), (3) nehmen.</t>
        </is>
      </c>
    </row>
    <row r="14">
      <c r="A14" s="16" t="inlineStr">
        <is>
          <t>4.</t>
        </is>
      </c>
      <c r="B14" s="17" t="inlineStr">
        <is>
          <t>Restwert und Status rechnet die Tabelle selbst.</t>
        </is>
      </c>
    </row>
    <row r="15">
      <c r="A15" s="16" t="inlineStr"/>
      <c r="B15" s="17" t="inlineStr"/>
    </row>
    <row r="16">
      <c r="B16" s="15" t="inlineStr">
        <is>
          <t>Gut zu wissen</t>
        </is>
      </c>
    </row>
    <row r="17">
      <c r="A17" s="16" t="inlineStr">
        <is>
          <t>•</t>
        </is>
      </c>
      <c r="B17" s="17" t="inlineStr">
        <is>
          <t>Gültig bis = 31.12. drei Jahre nach dem Kaufjahr (gesetzliche Regelfrist). Mit dem Steuerberater klären, ob das so passt und wie die Mehrwertsteuer bei Gutscheinen gebucht wird.</t>
        </is>
      </c>
    </row>
    <row r="18">
      <c r="A18" s="16" t="inlineStr">
        <is>
          <t>•</t>
        </is>
      </c>
      <c r="B18" s="17" t="inlineStr">
        <is>
          <t>Eine rot markierte Nummer gibt es doppelt. Ein roter Restwert heißt: mehr eingelöst als der Gutschein wert war.</t>
        </is>
      </c>
    </row>
    <row r="19">
      <c r="A19" s="16" t="inlineStr">
        <is>
          <t>•</t>
        </is>
      </c>
      <c r="B19" s="17" t="inlineStr">
        <is>
          <t>Oben rechts steht der gesamte noch offene Gutscheinwert.</t>
        </is>
      </c>
    </row>
    <row r="20">
      <c r="A20" s="16" t="inlineStr">
        <is>
          <t>•</t>
        </is>
      </c>
      <c r="B20" s="17" t="inlineStr">
        <is>
          <t>Grau hinterlegte Spalten (Gültig bis, Restwert, Status) nicht überschreiben.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2026-10-14T11:54:26Z</dcterms:created>
  <dcterms:modified xsi:type="dcterms:W3CDTF">2026-10-14T11:54:26Z</dcterms:modified>
</cp:coreProperties>
</file>